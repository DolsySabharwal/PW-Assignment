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ik\Desktop\"/>
    </mc:Choice>
  </mc:AlternateContent>
  <xr:revisionPtr revIDLastSave="0" documentId="13_ncr:1_{428B1560-7F55-41D1-986F-E7BE928FD41D}" xr6:coauthVersionLast="47" xr6:coauthVersionMax="47" xr10:uidLastSave="{00000000-0000-0000-0000-000000000000}"/>
  <bookViews>
    <workbookView xWindow="-110" yWindow="-110" windowWidth="19420" windowHeight="10300" activeTab="7" xr2:uid="{9E17387F-6E59-4AB5-9FB7-D4A3EDA0869B}"/>
  </bookViews>
  <sheets>
    <sheet name="Q1" sheetId="1" r:id="rId1"/>
    <sheet name="Q2" sheetId="2" r:id="rId2"/>
    <sheet name="Q3" sheetId="3" r:id="rId3"/>
    <sheet name="Q4" sheetId="5" r:id="rId4"/>
    <sheet name="Q5" sheetId="6" r:id="rId5"/>
    <sheet name="Q6" sheetId="7" r:id="rId6"/>
    <sheet name="Q7" sheetId="8" r:id="rId7"/>
    <sheet name="Q8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3" l="1"/>
  <c r="E11" i="2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L6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7" i="7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7" i="6"/>
  <c r="M4" i="5"/>
</calcChain>
</file>

<file path=xl/sharedStrings.xml><?xml version="1.0" encoding="utf-8"?>
<sst xmlns="http://schemas.openxmlformats.org/spreadsheetml/2006/main" count="986" uniqueCount="153">
  <si>
    <t>Explain the difference between Relative , Absolute and Mixed Cell Referencing.  You have the following dataset:</t>
  </si>
  <si>
    <t>Q1.</t>
  </si>
  <si>
    <t>Vehicle</t>
  </si>
  <si>
    <t>Price</t>
  </si>
  <si>
    <t>Car</t>
  </si>
  <si>
    <t>Bicycle</t>
  </si>
  <si>
    <t>Auto-Rickshaw</t>
  </si>
  <si>
    <t>Ans</t>
  </si>
  <si>
    <t>Difference between Relative, Absolute and mixed cell referencing</t>
  </si>
  <si>
    <t xml:space="preserve">Relative referencing: </t>
  </si>
  <si>
    <t>Changes relative to its position when copied. If= A1+B1 in cell C1 is copied to C2, it becomes = A2+B2</t>
  </si>
  <si>
    <t>Use case:</t>
  </si>
  <si>
    <t>Summing columns or rows where each formula needs to refer to its own adjacent cells.</t>
  </si>
  <si>
    <t>Absolute referencing:</t>
  </si>
  <si>
    <t>It stays fixed, regardless of where the formula is copied.</t>
  </si>
  <si>
    <t>To fix it, type the cell (eg, A1) and press F4 or fn+F4 to add the dollar signs ($A$1)</t>
  </si>
  <si>
    <t>Mixed referencing:</t>
  </si>
  <si>
    <t>It is a combination of relative and absolute referencing. It locks either the column or the row, allowing the others to change.</t>
  </si>
  <si>
    <t>Creating multiplication tables where one factor stays in the same column (eg., $A1) and another in the same row (eg,. B$1), enabling copying in both directions.</t>
  </si>
  <si>
    <t>Referencing a single constant value, like a discount rate, that all formulas need to use</t>
  </si>
  <si>
    <t>Write a formula to calculate the total sales of Car and Bicyle only only.</t>
  </si>
  <si>
    <t>Ans-</t>
  </si>
  <si>
    <t xml:space="preserve">Total sales price of car and bicyle= </t>
  </si>
  <si>
    <t xml:space="preserve">Formula </t>
  </si>
  <si>
    <t>Q3.</t>
  </si>
  <si>
    <t>Using the data below, write a formula to calculate the average sales of items priced above 100 but less than 300:</t>
  </si>
  <si>
    <t>ITEM</t>
  </si>
  <si>
    <t>PRICE</t>
  </si>
  <si>
    <t>SALES</t>
  </si>
  <si>
    <t>Item 1</t>
  </si>
  <si>
    <t>Item 2</t>
  </si>
  <si>
    <t>Item 3</t>
  </si>
  <si>
    <t>formula for average sales of item priced above 100 but less than 300</t>
  </si>
  <si>
    <t>Q4.</t>
  </si>
  <si>
    <t>Count how many customer names are recorded.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</si>
  <si>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</si>
  <si>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</si>
  <si>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</si>
  <si>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</si>
  <si>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</si>
  <si>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</si>
  <si>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</si>
  <si>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</si>
  <si>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</si>
  <si>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</si>
  <si>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</si>
  <si>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</si>
  <si>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</si>
  <si>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</si>
  <si>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</si>
  <si>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</si>
  <si>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</si>
  <si>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</si>
  <si>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</si>
  <si>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</si>
  <si>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</si>
  <si>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</si>
  <si>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</si>
  <si>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</si>
  <si>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</si>
  <si>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</si>
  <si>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</si>
  <si>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</si>
  <si>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</si>
  <si>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</si>
  <si>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</si>
  <si>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</si>
  <si>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</si>
  <si>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</si>
  <si>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</si>
  <si>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</si>
  <si>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</si>
  <si>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</si>
  <si>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</si>
  <si>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</si>
  <si>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</si>
  <si>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</si>
  <si>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</si>
  <si>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</si>
  <si>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</si>
  <si>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</si>
  <si>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</si>
  <si>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</si>
  <si>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</si>
  <si>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</si>
  <si>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</si>
  <si>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</si>
  <si>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</si>
  <si>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</si>
  <si>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</si>
  <si>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</si>
  <si>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</si>
  <si>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</si>
  <si>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</si>
  <si>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</si>
  <si>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</si>
  <si>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</si>
  <si>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</si>
  <si>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</si>
  <si>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</si>
  <si>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</si>
  <si>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</si>
  <si>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</si>
  <si>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</si>
  <si>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</si>
  <si>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</si>
  <si>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</si>
  <si>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</si>
  <si>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</si>
  <si>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</si>
  <si>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</si>
  <si>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</si>
  <si>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</si>
  <si>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</si>
  <si>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</si>
  <si>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</si>
  <si>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</si>
  <si>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</si>
  <si>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</si>
  <si>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</si>
  <si>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</si>
  <si>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</si>
  <si>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</si>
  <si>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</si>
  <si>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</si>
  <si>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</si>
  <si>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</si>
  <si>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ANSWER</t>
  </si>
  <si>
    <t>Solution:</t>
  </si>
  <si>
    <t>COUNTA(C5:C54)</t>
  </si>
  <si>
    <t>counta is a function in excel that counts the number of cells in a range that are not empty</t>
  </si>
  <si>
    <t xml:space="preserve"> </t>
  </si>
  <si>
    <t>Q5.</t>
  </si>
  <si>
    <t>Calculate the Total Sales for each row using a formula</t>
  </si>
  <si>
    <t>To calculate the total sales the formula used is:</t>
  </si>
  <si>
    <t>Quantity*Unit Price</t>
  </si>
  <si>
    <t>=</t>
  </si>
  <si>
    <t>G7*H7</t>
  </si>
  <si>
    <t>Q6.</t>
  </si>
  <si>
    <t>Calculate the total sales of Notebooks in the North region only.</t>
  </si>
  <si>
    <t>Ans- Total sales of notebooks in north region is</t>
  </si>
  <si>
    <t>Total Sales</t>
  </si>
  <si>
    <t>FORMULA USED</t>
  </si>
  <si>
    <t>SUMIFS(I7:I56,E7:E56,E7,D7:D56,D7)</t>
  </si>
  <si>
    <t>Q7.</t>
  </si>
  <si>
    <t>Create a column chart showing total sales by product.</t>
  </si>
  <si>
    <t>Q8.</t>
  </si>
  <si>
    <t>Insert a line chart showing daily sales trend.</t>
  </si>
  <si>
    <t xml:space="preserve">Q2. </t>
  </si>
  <si>
    <t xml:space="preserve">Vehichle </t>
  </si>
  <si>
    <t>SUMIF(B5:B7,"Car",C5:C7) + SUMIF(B5:B7,"Bicycle",C5:C7)</t>
  </si>
  <si>
    <t>AVERAGEIFS(E7:E9, D7:D9, “&gt;100”, D7:D9, “&lt;300”)</t>
  </si>
  <si>
    <t>PRODUCT(G7,H7)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</si>
</sst>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/>
    <xf numFmtId="0" fontId="8" fillId="5" borderId="1" xfId="0" applyFont="1" applyFill="1" applyBorder="1" applyAlignment="1">
      <alignment horizontal="right"/>
    </xf>
    <xf numFmtId="0" fontId="8" fillId="5" borderId="1" xfId="0" applyFont="1" applyFill="1" applyBorder="1"/>
    <xf numFmtId="164" fontId="8" fillId="5" borderId="1" xfId="0" applyNumberFormat="1" applyFont="1" applyFill="1" applyBorder="1" applyAlignment="1">
      <alignment horizontal="right"/>
    </xf>
    <xf numFmtId="0" fontId="9" fillId="4" borderId="0" xfId="0" applyFont="1" applyFill="1"/>
    <xf numFmtId="0" fontId="6" fillId="0" borderId="0" xfId="0" applyFont="1"/>
    <xf numFmtId="0" fontId="1" fillId="6" borderId="0" xfId="0" applyFont="1" applyFill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0" fontId="8" fillId="5" borderId="1" xfId="0" applyFont="1" applyFill="1" applyBorder="1" applyAlignment="1">
      <alignment horizontal="center"/>
    </xf>
    <xf numFmtId="0" fontId="7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7" borderId="0" xfId="0" applyFill="1"/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-0.249977111117893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layout>
        <c:manualLayout>
          <c:xMode val="edge"/>
          <c:yMode val="edge"/>
          <c:x val="0.2817567804024496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'Q7'!$I$5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'Q7'!$E$6:$E$55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'Q7'!$I$6:$I$55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C6-4EAB-A5A4-3E3C3995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14237343"/>
        <c:axId val="1614239263"/>
      </c:barChart>
      <c:catAx>
        <c:axId val="1614237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 i="1"/>
                  <a:t>Product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39263"/>
        <c:crosses val="autoZero"/>
        <c:auto val="1"/>
        <c:lblAlgn val="ctr"/>
        <c:lblOffset val="100"/>
        <c:noMultiLvlLbl val="0"/>
      </c:catAx>
      <c:valAx>
        <c:axId val="161423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0" i="1"/>
                  <a:t>Total</a:t>
                </a:r>
                <a:r>
                  <a:rPr lang="en-IN" b="0" i="1" baseline="0"/>
                  <a:t> Sales</a:t>
                </a:r>
                <a:endParaRPr lang="en-IN" b="0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3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Daily Sales trend line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'Q8'!$H$6:$H$55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'Q8'!$I$6:$I$55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7B-49F4-AD9F-0C8F48972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4293023"/>
        <c:axId val="1614264223"/>
      </c:lineChart>
      <c:catAx>
        <c:axId val="1614293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Order 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64223"/>
        <c:crosses val="autoZero"/>
        <c:auto val="1"/>
        <c:lblAlgn val="ctr"/>
        <c:lblOffset val="100"/>
        <c:noMultiLvlLbl val="0"/>
      </c:catAx>
      <c:valAx>
        <c:axId val="161426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293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41275</xdr:colOff>
      <xdr:row>2</xdr:row>
      <xdr:rowOff>6350</xdr:rowOff>
    </xdr:from>
    <xdr:to>
      <xdr:col>17</xdr:col>
      <xdr:colOff>346075</xdr:colOff>
      <xdr:row>16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455723-621F-8351-2584-C50E8CE45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1</xdr:row>
      <xdr:rowOff>38100</xdr:rowOff>
    </xdr:from>
    <xdr:to>
      <xdr:col>17</xdr:col>
      <xdr:colOff>390525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9BA5FA-CEDE-21EA-B415-AD815E5B3B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9B7CF-FC9C-4151-9E1E-E55B1F425034}" name="Table1" displayName="Table1" ref="B4:C8" totalsRowShown="0" headerRowDxfId="1">
  <autoFilter ref="B4:C8" xr:uid="{A009B7CF-FC9C-4151-9E1E-E55B1F425034}"/>
  <tableColumns count="2">
    <tableColumn id="1" xr3:uid="{85FBFFB2-4686-487A-82D1-FB32F85766DB}" name="Vehicle"/>
    <tableColumn id="2" xr3:uid="{EAF97920-9D75-4FE1-91B6-2D30479897E8}" name="Pric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B7FD6B-DBCF-4E59-9B0D-F678DE658847}" name="Table4" displayName="Table4" ref="L6:L56" totalsRowShown="0" headerRowDxfId="0">
  <autoFilter ref="L6:L56" xr:uid="{89B7FD6B-DBCF-4E59-9B0D-F678DE658847}"/>
  <tableColumns count="1">
    <tableColumn id="1" xr3:uid="{09E859EA-6927-4298-A878-3DB5F4C82AE1}" name="SALES">
      <calculatedColumnFormula>G7*H7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A31DD-64A1-4C28-AB73-2F1DE79A7199}">
  <dimension ref="A2:D21"/>
  <sheetViews>
    <sheetView workbookViewId="0">
      <selection activeCell="A10" sqref="A10"/>
    </sheetView>
  </sheetViews>
  <sheetFormatPr defaultRowHeight="14.5" x14ac:dyDescent="0.35"/>
  <cols>
    <col min="2" max="2" width="16.1796875" customWidth="1"/>
  </cols>
  <sheetData>
    <row r="2" spans="1:4" x14ac:dyDescent="0.35">
      <c r="A2" s="20" t="s">
        <v>1</v>
      </c>
      <c r="B2" t="s">
        <v>0</v>
      </c>
    </row>
    <row r="4" spans="1:4" x14ac:dyDescent="0.35">
      <c r="B4" s="1" t="s">
        <v>2</v>
      </c>
      <c r="C4" s="1" t="s">
        <v>3</v>
      </c>
    </row>
    <row r="5" spans="1:4" x14ac:dyDescent="0.35">
      <c r="B5" t="s">
        <v>4</v>
      </c>
      <c r="C5">
        <v>500000</v>
      </c>
    </row>
    <row r="6" spans="1:4" x14ac:dyDescent="0.35">
      <c r="B6" t="s">
        <v>5</v>
      </c>
      <c r="C6">
        <v>10500</v>
      </c>
    </row>
    <row r="7" spans="1:4" x14ac:dyDescent="0.35">
      <c r="B7" t="s">
        <v>6</v>
      </c>
      <c r="C7">
        <v>25000</v>
      </c>
    </row>
    <row r="10" spans="1:4" x14ac:dyDescent="0.35">
      <c r="A10" s="20" t="s">
        <v>7</v>
      </c>
      <c r="B10" t="s">
        <v>8</v>
      </c>
    </row>
    <row r="12" spans="1:4" x14ac:dyDescent="0.35">
      <c r="B12" s="1" t="s">
        <v>9</v>
      </c>
      <c r="D12" t="s">
        <v>10</v>
      </c>
    </row>
    <row r="13" spans="1:4" x14ac:dyDescent="0.35">
      <c r="C13" s="2" t="s">
        <v>11</v>
      </c>
      <c r="D13" t="s">
        <v>12</v>
      </c>
    </row>
    <row r="16" spans="1:4" x14ac:dyDescent="0.35">
      <c r="B16" s="1" t="s">
        <v>13</v>
      </c>
      <c r="D16" t="s">
        <v>14</v>
      </c>
    </row>
    <row r="17" spans="2:4" x14ac:dyDescent="0.35">
      <c r="D17" t="s">
        <v>15</v>
      </c>
    </row>
    <row r="18" spans="2:4" x14ac:dyDescent="0.35">
      <c r="C18" s="2" t="s">
        <v>11</v>
      </c>
      <c r="D18" t="s">
        <v>19</v>
      </c>
    </row>
    <row r="20" spans="2:4" x14ac:dyDescent="0.35">
      <c r="B20" s="1" t="s">
        <v>16</v>
      </c>
      <c r="D20" t="s">
        <v>17</v>
      </c>
    </row>
    <row r="21" spans="2:4" x14ac:dyDescent="0.35">
      <c r="C21" s="2" t="s">
        <v>11</v>
      </c>
      <c r="D2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890E-BE5C-413A-A17F-3371F7D216AA}">
  <dimension ref="A2:E14"/>
  <sheetViews>
    <sheetView workbookViewId="0">
      <selection activeCell="C14" sqref="C14"/>
    </sheetView>
  </sheetViews>
  <sheetFormatPr defaultRowHeight="14.5" x14ac:dyDescent="0.35"/>
  <cols>
    <col min="2" max="2" width="20.08984375" customWidth="1"/>
    <col min="3" max="3" width="12.90625" customWidth="1"/>
  </cols>
  <sheetData>
    <row r="2" spans="1:5" x14ac:dyDescent="0.35">
      <c r="A2" s="20" t="s">
        <v>148</v>
      </c>
      <c r="B2" t="s">
        <v>20</v>
      </c>
    </row>
    <row r="4" spans="1:5" ht="21" x14ac:dyDescent="0.35">
      <c r="B4" s="21" t="s">
        <v>149</v>
      </c>
      <c r="C4" s="22" t="s">
        <v>3</v>
      </c>
    </row>
    <row r="5" spans="1:5" ht="21" x14ac:dyDescent="0.35">
      <c r="B5" s="23" t="s">
        <v>4</v>
      </c>
      <c r="C5" s="24">
        <v>500000</v>
      </c>
    </row>
    <row r="6" spans="1:5" ht="21" x14ac:dyDescent="0.35">
      <c r="B6" s="23" t="s">
        <v>5</v>
      </c>
      <c r="C6" s="24">
        <v>10500</v>
      </c>
    </row>
    <row r="7" spans="1:5" ht="21" x14ac:dyDescent="0.35">
      <c r="B7" s="23" t="s">
        <v>6</v>
      </c>
      <c r="C7" s="24">
        <v>25000</v>
      </c>
    </row>
    <row r="11" spans="1:5" x14ac:dyDescent="0.35">
      <c r="A11" s="20" t="s">
        <v>21</v>
      </c>
      <c r="B11" t="s">
        <v>22</v>
      </c>
      <c r="E11">
        <f>SUMIF(B5:B7,"Car",C5:C7) + SUMIF(B5:B7,"Bicycle",C5:C7)</f>
        <v>510500</v>
      </c>
    </row>
    <row r="14" spans="1:5" ht="15.5" x14ac:dyDescent="0.35">
      <c r="B14" s="1" t="s">
        <v>23</v>
      </c>
      <c r="C14" s="3" t="s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2725-8B86-456C-A726-1C16C3BBEECB}">
  <dimension ref="A3:E16"/>
  <sheetViews>
    <sheetView workbookViewId="0">
      <selection activeCell="C14" sqref="C14"/>
    </sheetView>
  </sheetViews>
  <sheetFormatPr defaultRowHeight="14.5" x14ac:dyDescent="0.35"/>
  <sheetData>
    <row r="3" spans="1:5" x14ac:dyDescent="0.35">
      <c r="A3" s="20" t="s">
        <v>24</v>
      </c>
      <c r="B3" t="s">
        <v>25</v>
      </c>
    </row>
    <row r="6" spans="1:5" ht="18.5" x14ac:dyDescent="0.35">
      <c r="C6" s="4" t="s">
        <v>26</v>
      </c>
      <c r="D6" s="4" t="s">
        <v>27</v>
      </c>
      <c r="E6" s="4" t="s">
        <v>28</v>
      </c>
    </row>
    <row r="7" spans="1:5" ht="18.5" x14ac:dyDescent="0.35">
      <c r="C7" s="5" t="s">
        <v>29</v>
      </c>
      <c r="D7" s="6">
        <v>90</v>
      </c>
      <c r="E7" s="6">
        <v>1000</v>
      </c>
    </row>
    <row r="8" spans="1:5" ht="18.5" x14ac:dyDescent="0.35">
      <c r="C8" s="5" t="s">
        <v>30</v>
      </c>
      <c r="D8" s="6">
        <v>150</v>
      </c>
      <c r="E8" s="6">
        <v>1200</v>
      </c>
    </row>
    <row r="9" spans="1:5" ht="18.5" x14ac:dyDescent="0.35">
      <c r="C9" s="5" t="s">
        <v>31</v>
      </c>
      <c r="D9" s="6">
        <v>250</v>
      </c>
      <c r="E9" s="6">
        <v>1500</v>
      </c>
    </row>
    <row r="12" spans="1:5" x14ac:dyDescent="0.35">
      <c r="B12" s="20" t="s">
        <v>7</v>
      </c>
      <c r="C12" t="s">
        <v>32</v>
      </c>
    </row>
    <row r="14" spans="1:5" ht="15.5" x14ac:dyDescent="0.35">
      <c r="C14" s="3" t="s">
        <v>151</v>
      </c>
    </row>
    <row r="16" spans="1:5" ht="26" x14ac:dyDescent="0.6">
      <c r="C16" s="25">
        <f>AVERAGEIFS(E7:E9,D7:D9, "&gt;100", D7:D9, "&lt;300")</f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19F7-EF97-4EED-8A8A-E6524C862A18}">
  <dimension ref="A2:M54"/>
  <sheetViews>
    <sheetView workbookViewId="0">
      <selection activeCell="A2" sqref="A2"/>
    </sheetView>
  </sheetViews>
  <sheetFormatPr defaultRowHeight="14.5" x14ac:dyDescent="0.35"/>
  <cols>
    <col min="3" max="3" width="14" bestFit="1" customWidth="1"/>
    <col min="4" max="4" width="6.453125" bestFit="1" customWidth="1"/>
    <col min="5" max="5" width="9" bestFit="1" customWidth="1"/>
    <col min="8" max="8" width="10.08984375" bestFit="1" customWidth="1"/>
    <col min="11" max="11" width="11.7265625" bestFit="1" customWidth="1"/>
  </cols>
  <sheetData>
    <row r="2" spans="1:13" x14ac:dyDescent="0.35">
      <c r="A2" s="20" t="s">
        <v>33</v>
      </c>
      <c r="B2" t="s">
        <v>34</v>
      </c>
    </row>
    <row r="4" spans="1:13" ht="21" x14ac:dyDescent="0.5"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G4" s="7" t="s">
        <v>40</v>
      </c>
      <c r="H4" s="7" t="s">
        <v>41</v>
      </c>
      <c r="K4" s="11" t="s">
        <v>127</v>
      </c>
      <c r="M4" s="12">
        <f>COUNTA(C5:C54)</f>
        <v>50</v>
      </c>
    </row>
    <row r="5" spans="1:13" x14ac:dyDescent="0.35">
      <c r="B5" s="8">
        <v>1001</v>
      </c>
      <c r="C5" s="9" t="s">
        <v>42</v>
      </c>
      <c r="D5" s="9" t="s">
        <v>43</v>
      </c>
      <c r="E5" s="9" t="s">
        <v>44</v>
      </c>
      <c r="F5" s="8">
        <v>10</v>
      </c>
      <c r="G5" s="8">
        <v>50</v>
      </c>
      <c r="H5" s="10">
        <v>45413</v>
      </c>
    </row>
    <row r="6" spans="1:13" x14ac:dyDescent="0.35">
      <c r="B6" s="8">
        <v>1002</v>
      </c>
      <c r="C6" s="9" t="s">
        <v>45</v>
      </c>
      <c r="D6" s="9" t="s">
        <v>46</v>
      </c>
      <c r="E6" s="9" t="s">
        <v>47</v>
      </c>
      <c r="F6" s="8">
        <v>20</v>
      </c>
      <c r="G6" s="8">
        <v>10</v>
      </c>
      <c r="H6" s="10">
        <v>45444</v>
      </c>
    </row>
    <row r="7" spans="1:13" ht="15.5" x14ac:dyDescent="0.35">
      <c r="B7" s="8">
        <v>1003</v>
      </c>
      <c r="C7" s="9" t="s">
        <v>48</v>
      </c>
      <c r="D7" s="9" t="s">
        <v>49</v>
      </c>
      <c r="E7" s="9" t="s">
        <v>50</v>
      </c>
      <c r="F7" s="8">
        <v>15</v>
      </c>
      <c r="G7" s="8">
        <v>25</v>
      </c>
      <c r="H7" s="10">
        <v>45474</v>
      </c>
      <c r="K7" t="s">
        <v>128</v>
      </c>
      <c r="L7" s="3" t="s">
        <v>129</v>
      </c>
    </row>
    <row r="8" spans="1:13" x14ac:dyDescent="0.35">
      <c r="B8" s="8">
        <v>1004</v>
      </c>
      <c r="C8" s="9" t="s">
        <v>51</v>
      </c>
      <c r="D8" s="9" t="s">
        <v>52</v>
      </c>
      <c r="E8" s="9" t="s">
        <v>44</v>
      </c>
      <c r="F8" s="8">
        <v>5</v>
      </c>
      <c r="G8" s="8">
        <v>50</v>
      </c>
      <c r="H8" s="10">
        <v>45505</v>
      </c>
    </row>
    <row r="9" spans="1:13" x14ac:dyDescent="0.35">
      <c r="B9" s="8">
        <v>1005</v>
      </c>
      <c r="C9" s="9" t="s">
        <v>53</v>
      </c>
      <c r="D9" s="9" t="s">
        <v>43</v>
      </c>
      <c r="E9" s="9" t="s">
        <v>54</v>
      </c>
      <c r="F9" s="8">
        <v>30</v>
      </c>
      <c r="G9" s="8">
        <v>5</v>
      </c>
      <c r="H9" s="10">
        <v>45566</v>
      </c>
      <c r="K9" t="s">
        <v>130</v>
      </c>
    </row>
    <row r="10" spans="1:13" x14ac:dyDescent="0.35">
      <c r="B10" s="8">
        <v>1006</v>
      </c>
      <c r="C10" s="9" t="s">
        <v>55</v>
      </c>
      <c r="D10" s="9" t="s">
        <v>46</v>
      </c>
      <c r="E10" s="9" t="s">
        <v>44</v>
      </c>
      <c r="F10" s="8">
        <v>12</v>
      </c>
      <c r="G10" s="8">
        <v>50</v>
      </c>
      <c r="H10" s="10">
        <v>45597</v>
      </c>
    </row>
    <row r="11" spans="1:13" x14ac:dyDescent="0.35">
      <c r="B11" s="8">
        <v>1007</v>
      </c>
      <c r="C11" s="9" t="s">
        <v>56</v>
      </c>
      <c r="D11" s="9" t="s">
        <v>49</v>
      </c>
      <c r="E11" s="9" t="s">
        <v>57</v>
      </c>
      <c r="F11" s="8">
        <v>25</v>
      </c>
      <c r="G11" s="8">
        <v>8</v>
      </c>
      <c r="H11" s="8" t="s">
        <v>58</v>
      </c>
    </row>
    <row r="12" spans="1:13" x14ac:dyDescent="0.35">
      <c r="B12" s="8">
        <v>1008</v>
      </c>
      <c r="C12" s="9" t="s">
        <v>59</v>
      </c>
      <c r="D12" s="9" t="s">
        <v>52</v>
      </c>
      <c r="E12" s="9" t="s">
        <v>47</v>
      </c>
      <c r="F12" s="8">
        <v>18</v>
      </c>
      <c r="G12" s="8">
        <v>10</v>
      </c>
      <c r="H12" s="8" t="s">
        <v>60</v>
      </c>
    </row>
    <row r="13" spans="1:13" x14ac:dyDescent="0.35">
      <c r="B13" s="8">
        <v>1009</v>
      </c>
      <c r="C13" s="9" t="s">
        <v>61</v>
      </c>
      <c r="D13" s="9" t="s">
        <v>43</v>
      </c>
      <c r="E13" s="9" t="s">
        <v>50</v>
      </c>
      <c r="F13" s="8">
        <v>22</v>
      </c>
      <c r="G13" s="8">
        <v>25</v>
      </c>
      <c r="H13" s="8" t="s">
        <v>62</v>
      </c>
    </row>
    <row r="14" spans="1:13" x14ac:dyDescent="0.35">
      <c r="B14" s="8">
        <v>1010</v>
      </c>
      <c r="C14" s="9" t="s">
        <v>63</v>
      </c>
      <c r="D14" s="9" t="s">
        <v>46</v>
      </c>
      <c r="E14" s="9" t="s">
        <v>44</v>
      </c>
      <c r="F14" s="8">
        <v>8</v>
      </c>
      <c r="G14" s="8">
        <v>50</v>
      </c>
      <c r="H14" s="8" t="s">
        <v>64</v>
      </c>
    </row>
    <row r="15" spans="1:13" x14ac:dyDescent="0.35">
      <c r="B15" s="8">
        <v>1011</v>
      </c>
      <c r="C15" s="9" t="s">
        <v>65</v>
      </c>
      <c r="D15" s="9" t="s">
        <v>49</v>
      </c>
      <c r="E15" s="9" t="s">
        <v>54</v>
      </c>
      <c r="F15" s="8">
        <v>40</v>
      </c>
      <c r="G15" s="8">
        <v>5</v>
      </c>
      <c r="H15" s="8" t="s">
        <v>66</v>
      </c>
    </row>
    <row r="16" spans="1:13" x14ac:dyDescent="0.35">
      <c r="B16" s="8">
        <v>1012</v>
      </c>
      <c r="C16" s="9" t="s">
        <v>67</v>
      </c>
      <c r="D16" s="9" t="s">
        <v>52</v>
      </c>
      <c r="E16" s="9" t="s">
        <v>57</v>
      </c>
      <c r="F16" s="8">
        <v>35</v>
      </c>
      <c r="G16" s="8">
        <v>8</v>
      </c>
      <c r="H16" s="8" t="s">
        <v>68</v>
      </c>
    </row>
    <row r="17" spans="2:8" x14ac:dyDescent="0.35">
      <c r="B17" s="8">
        <v>1013</v>
      </c>
      <c r="C17" s="9" t="s">
        <v>69</v>
      </c>
      <c r="D17" s="9" t="s">
        <v>43</v>
      </c>
      <c r="E17" s="9" t="s">
        <v>44</v>
      </c>
      <c r="F17" s="8">
        <v>14</v>
      </c>
      <c r="G17" s="8">
        <v>50</v>
      </c>
      <c r="H17" s="8" t="s">
        <v>70</v>
      </c>
    </row>
    <row r="18" spans="2:8" x14ac:dyDescent="0.35">
      <c r="B18" s="8">
        <v>1014</v>
      </c>
      <c r="C18" s="9" t="s">
        <v>71</v>
      </c>
      <c r="D18" s="9" t="s">
        <v>46</v>
      </c>
      <c r="E18" s="9" t="s">
        <v>47</v>
      </c>
      <c r="F18" s="8">
        <v>28</v>
      </c>
      <c r="G18" s="8">
        <v>10</v>
      </c>
      <c r="H18" s="8" t="s">
        <v>72</v>
      </c>
    </row>
    <row r="19" spans="2:8" x14ac:dyDescent="0.35">
      <c r="B19" s="8">
        <v>1015</v>
      </c>
      <c r="C19" s="9" t="s">
        <v>73</v>
      </c>
      <c r="D19" s="9" t="s">
        <v>49</v>
      </c>
      <c r="E19" s="9" t="s">
        <v>50</v>
      </c>
      <c r="F19" s="8">
        <v>12</v>
      </c>
      <c r="G19" s="8">
        <v>25</v>
      </c>
      <c r="H19" s="8" t="s">
        <v>74</v>
      </c>
    </row>
    <row r="20" spans="2:8" x14ac:dyDescent="0.35">
      <c r="B20" s="8">
        <v>1016</v>
      </c>
      <c r="C20" s="9" t="s">
        <v>75</v>
      </c>
      <c r="D20" s="9" t="s">
        <v>52</v>
      </c>
      <c r="E20" s="9" t="s">
        <v>54</v>
      </c>
      <c r="F20" s="8">
        <v>25</v>
      </c>
      <c r="G20" s="8">
        <v>5</v>
      </c>
      <c r="H20" s="8" t="s">
        <v>76</v>
      </c>
    </row>
    <row r="21" spans="2:8" x14ac:dyDescent="0.35">
      <c r="B21" s="8">
        <v>1017</v>
      </c>
      <c r="C21" s="9" t="s">
        <v>77</v>
      </c>
      <c r="D21" s="9" t="s">
        <v>43</v>
      </c>
      <c r="E21" s="9" t="s">
        <v>57</v>
      </c>
      <c r="F21" s="8">
        <v>20</v>
      </c>
      <c r="G21" s="8">
        <v>8</v>
      </c>
      <c r="H21" s="8" t="s">
        <v>78</v>
      </c>
    </row>
    <row r="22" spans="2:8" x14ac:dyDescent="0.35">
      <c r="B22" s="8">
        <v>1018</v>
      </c>
      <c r="C22" s="9" t="s">
        <v>79</v>
      </c>
      <c r="D22" s="9" t="s">
        <v>46</v>
      </c>
      <c r="E22" s="9" t="s">
        <v>44</v>
      </c>
      <c r="F22" s="8">
        <v>10</v>
      </c>
      <c r="G22" s="8">
        <v>50</v>
      </c>
      <c r="H22" s="8" t="s">
        <v>80</v>
      </c>
    </row>
    <row r="23" spans="2:8" x14ac:dyDescent="0.35">
      <c r="B23" s="8">
        <v>1019</v>
      </c>
      <c r="C23" s="9" t="s">
        <v>81</v>
      </c>
      <c r="D23" s="9" t="s">
        <v>49</v>
      </c>
      <c r="E23" s="9" t="s">
        <v>47</v>
      </c>
      <c r="F23" s="8">
        <v>15</v>
      </c>
      <c r="G23" s="8">
        <v>10</v>
      </c>
      <c r="H23" s="8" t="s">
        <v>82</v>
      </c>
    </row>
    <row r="24" spans="2:8" x14ac:dyDescent="0.35">
      <c r="B24" s="8">
        <v>1020</v>
      </c>
      <c r="C24" s="9" t="s">
        <v>83</v>
      </c>
      <c r="D24" s="9" t="s">
        <v>52</v>
      </c>
      <c r="E24" s="9" t="s">
        <v>50</v>
      </c>
      <c r="F24" s="8">
        <v>18</v>
      </c>
      <c r="G24" s="8">
        <v>25</v>
      </c>
      <c r="H24" s="10">
        <v>45293</v>
      </c>
    </row>
    <row r="25" spans="2:8" x14ac:dyDescent="0.35">
      <c r="B25" s="8">
        <v>1021</v>
      </c>
      <c r="C25" s="9" t="s">
        <v>84</v>
      </c>
      <c r="D25" s="9" t="s">
        <v>43</v>
      </c>
      <c r="E25" s="9" t="s">
        <v>44</v>
      </c>
      <c r="F25" s="8">
        <v>9</v>
      </c>
      <c r="G25" s="8">
        <v>50</v>
      </c>
      <c r="H25" s="10">
        <v>45324</v>
      </c>
    </row>
    <row r="26" spans="2:8" x14ac:dyDescent="0.35">
      <c r="B26" s="8">
        <v>1022</v>
      </c>
      <c r="C26" s="9" t="s">
        <v>85</v>
      </c>
      <c r="D26" s="9" t="s">
        <v>46</v>
      </c>
      <c r="E26" s="9" t="s">
        <v>54</v>
      </c>
      <c r="F26" s="8">
        <v>35</v>
      </c>
      <c r="G26" s="8">
        <v>5</v>
      </c>
      <c r="H26" s="10">
        <v>45353</v>
      </c>
    </row>
    <row r="27" spans="2:8" x14ac:dyDescent="0.35">
      <c r="B27" s="8">
        <v>1023</v>
      </c>
      <c r="C27" s="9" t="s">
        <v>86</v>
      </c>
      <c r="D27" s="9" t="s">
        <v>49</v>
      </c>
      <c r="E27" s="9" t="s">
        <v>57</v>
      </c>
      <c r="F27" s="8">
        <v>30</v>
      </c>
      <c r="G27" s="8">
        <v>8</v>
      </c>
      <c r="H27" s="10">
        <v>45384</v>
      </c>
    </row>
    <row r="28" spans="2:8" x14ac:dyDescent="0.35">
      <c r="B28" s="8">
        <v>1024</v>
      </c>
      <c r="C28" s="9" t="s">
        <v>87</v>
      </c>
      <c r="D28" s="9" t="s">
        <v>52</v>
      </c>
      <c r="E28" s="9" t="s">
        <v>44</v>
      </c>
      <c r="F28" s="8">
        <v>11</v>
      </c>
      <c r="G28" s="8">
        <v>50</v>
      </c>
      <c r="H28" s="10">
        <v>45445</v>
      </c>
    </row>
    <row r="29" spans="2:8" x14ac:dyDescent="0.35">
      <c r="B29" s="8">
        <v>1025</v>
      </c>
      <c r="C29" s="9" t="s">
        <v>88</v>
      </c>
      <c r="D29" s="9" t="s">
        <v>43</v>
      </c>
      <c r="E29" s="9" t="s">
        <v>47</v>
      </c>
      <c r="F29" s="8">
        <v>14</v>
      </c>
      <c r="G29" s="8">
        <v>10</v>
      </c>
      <c r="H29" s="10">
        <v>45475</v>
      </c>
    </row>
    <row r="30" spans="2:8" x14ac:dyDescent="0.35">
      <c r="B30" s="8">
        <v>1026</v>
      </c>
      <c r="C30" s="9" t="s">
        <v>89</v>
      </c>
      <c r="D30" s="9" t="s">
        <v>46</v>
      </c>
      <c r="E30" s="9" t="s">
        <v>50</v>
      </c>
      <c r="F30" s="8">
        <v>16</v>
      </c>
      <c r="G30" s="8">
        <v>25</v>
      </c>
      <c r="H30" s="10">
        <v>45506</v>
      </c>
    </row>
    <row r="31" spans="2:8" x14ac:dyDescent="0.35">
      <c r="B31" s="8">
        <v>1027</v>
      </c>
      <c r="C31" s="9" t="s">
        <v>90</v>
      </c>
      <c r="D31" s="9" t="s">
        <v>49</v>
      </c>
      <c r="E31" s="9" t="s">
        <v>54</v>
      </c>
      <c r="F31" s="8">
        <v>22</v>
      </c>
      <c r="G31" s="8">
        <v>5</v>
      </c>
      <c r="H31" s="10">
        <v>45537</v>
      </c>
    </row>
    <row r="32" spans="2:8" x14ac:dyDescent="0.35">
      <c r="B32" s="8">
        <v>1028</v>
      </c>
      <c r="C32" s="9" t="s">
        <v>91</v>
      </c>
      <c r="D32" s="9" t="s">
        <v>52</v>
      </c>
      <c r="E32" s="9" t="s">
        <v>57</v>
      </c>
      <c r="F32" s="8">
        <v>27</v>
      </c>
      <c r="G32" s="8">
        <v>8</v>
      </c>
      <c r="H32" s="10">
        <v>45567</v>
      </c>
    </row>
    <row r="33" spans="2:8" x14ac:dyDescent="0.35">
      <c r="B33" s="8">
        <v>1029</v>
      </c>
      <c r="C33" s="9" t="s">
        <v>92</v>
      </c>
      <c r="D33" s="9" t="s">
        <v>43</v>
      </c>
      <c r="E33" s="9" t="s">
        <v>44</v>
      </c>
      <c r="F33" s="8">
        <v>13</v>
      </c>
      <c r="G33" s="8">
        <v>50</v>
      </c>
      <c r="H33" s="10">
        <v>45628</v>
      </c>
    </row>
    <row r="34" spans="2:8" x14ac:dyDescent="0.35">
      <c r="B34" s="8">
        <v>1030</v>
      </c>
      <c r="C34" s="9" t="s">
        <v>93</v>
      </c>
      <c r="D34" s="9" t="s">
        <v>46</v>
      </c>
      <c r="E34" s="9" t="s">
        <v>47</v>
      </c>
      <c r="F34" s="8">
        <v>32</v>
      </c>
      <c r="G34" s="8">
        <v>10</v>
      </c>
      <c r="H34" s="8" t="s">
        <v>94</v>
      </c>
    </row>
    <row r="35" spans="2:8" x14ac:dyDescent="0.35">
      <c r="B35" s="8">
        <v>1031</v>
      </c>
      <c r="C35" s="9" t="s">
        <v>95</v>
      </c>
      <c r="D35" s="9" t="s">
        <v>49</v>
      </c>
      <c r="E35" s="9" t="s">
        <v>50</v>
      </c>
      <c r="F35" s="8">
        <v>10</v>
      </c>
      <c r="G35" s="8">
        <v>25</v>
      </c>
      <c r="H35" s="8" t="s">
        <v>96</v>
      </c>
    </row>
    <row r="36" spans="2:8" x14ac:dyDescent="0.35">
      <c r="B36" s="8">
        <v>1032</v>
      </c>
      <c r="C36" s="9" t="s">
        <v>97</v>
      </c>
      <c r="D36" s="9" t="s">
        <v>52</v>
      </c>
      <c r="E36" s="9" t="s">
        <v>54</v>
      </c>
      <c r="F36" s="8">
        <v>18</v>
      </c>
      <c r="G36" s="8">
        <v>5</v>
      </c>
      <c r="H36" s="8" t="s">
        <v>98</v>
      </c>
    </row>
    <row r="37" spans="2:8" x14ac:dyDescent="0.35">
      <c r="B37" s="8">
        <v>1033</v>
      </c>
      <c r="C37" s="9" t="s">
        <v>99</v>
      </c>
      <c r="D37" s="9" t="s">
        <v>43</v>
      </c>
      <c r="E37" s="9" t="s">
        <v>57</v>
      </c>
      <c r="F37" s="8">
        <v>22</v>
      </c>
      <c r="G37" s="8">
        <v>8</v>
      </c>
      <c r="H37" s="8" t="s">
        <v>100</v>
      </c>
    </row>
    <row r="38" spans="2:8" x14ac:dyDescent="0.35">
      <c r="B38" s="8">
        <v>1034</v>
      </c>
      <c r="C38" s="9" t="s">
        <v>101</v>
      </c>
      <c r="D38" s="9" t="s">
        <v>46</v>
      </c>
      <c r="E38" s="9" t="s">
        <v>44</v>
      </c>
      <c r="F38" s="8">
        <v>17</v>
      </c>
      <c r="G38" s="8">
        <v>50</v>
      </c>
      <c r="H38" s="8" t="s">
        <v>102</v>
      </c>
    </row>
    <row r="39" spans="2:8" x14ac:dyDescent="0.35">
      <c r="B39" s="8">
        <v>1035</v>
      </c>
      <c r="C39" s="9" t="s">
        <v>103</v>
      </c>
      <c r="D39" s="9" t="s">
        <v>49</v>
      </c>
      <c r="E39" s="9" t="s">
        <v>47</v>
      </c>
      <c r="F39" s="8">
        <v>19</v>
      </c>
      <c r="G39" s="8">
        <v>10</v>
      </c>
      <c r="H39" s="8" t="s">
        <v>104</v>
      </c>
    </row>
    <row r="40" spans="2:8" x14ac:dyDescent="0.35">
      <c r="B40" s="8">
        <v>1036</v>
      </c>
      <c r="C40" s="9" t="s">
        <v>105</v>
      </c>
      <c r="D40" s="9" t="s">
        <v>52</v>
      </c>
      <c r="E40" s="9" t="s">
        <v>50</v>
      </c>
      <c r="F40" s="8">
        <v>15</v>
      </c>
      <c r="G40" s="8">
        <v>25</v>
      </c>
      <c r="H40" s="8" t="s">
        <v>106</v>
      </c>
    </row>
    <row r="41" spans="2:8" x14ac:dyDescent="0.35">
      <c r="B41" s="8">
        <v>1037</v>
      </c>
      <c r="C41" s="9" t="s">
        <v>107</v>
      </c>
      <c r="D41" s="9" t="s">
        <v>43</v>
      </c>
      <c r="E41" s="9" t="s">
        <v>54</v>
      </c>
      <c r="F41" s="8">
        <v>28</v>
      </c>
      <c r="G41" s="8">
        <v>5</v>
      </c>
      <c r="H41" s="8" t="s">
        <v>108</v>
      </c>
    </row>
    <row r="42" spans="2:8" x14ac:dyDescent="0.35">
      <c r="B42" s="8">
        <v>1038</v>
      </c>
      <c r="C42" s="9" t="s">
        <v>109</v>
      </c>
      <c r="D42" s="9" t="s">
        <v>46</v>
      </c>
      <c r="E42" s="9" t="s">
        <v>57</v>
      </c>
      <c r="F42" s="8">
        <v>24</v>
      </c>
      <c r="G42" s="8">
        <v>8</v>
      </c>
      <c r="H42" s="8" t="s">
        <v>110</v>
      </c>
    </row>
    <row r="43" spans="2:8" x14ac:dyDescent="0.35">
      <c r="B43" s="8">
        <v>1039</v>
      </c>
      <c r="C43" s="9" t="s">
        <v>111</v>
      </c>
      <c r="D43" s="9" t="s">
        <v>49</v>
      </c>
      <c r="E43" s="9" t="s">
        <v>44</v>
      </c>
      <c r="F43" s="8">
        <v>16</v>
      </c>
      <c r="G43" s="8">
        <v>50</v>
      </c>
      <c r="H43" s="8" t="s">
        <v>112</v>
      </c>
    </row>
    <row r="44" spans="2:8" x14ac:dyDescent="0.35">
      <c r="B44" s="8">
        <v>1040</v>
      </c>
      <c r="C44" s="9" t="s">
        <v>113</v>
      </c>
      <c r="D44" s="9" t="s">
        <v>52</v>
      </c>
      <c r="E44" s="9" t="s">
        <v>47</v>
      </c>
      <c r="F44" s="8">
        <v>27</v>
      </c>
      <c r="G44" s="8">
        <v>10</v>
      </c>
      <c r="H44" s="8" t="s">
        <v>114</v>
      </c>
    </row>
    <row r="45" spans="2:8" x14ac:dyDescent="0.35">
      <c r="B45" s="8">
        <v>1041</v>
      </c>
      <c r="C45" s="9" t="s">
        <v>115</v>
      </c>
      <c r="D45" s="9" t="s">
        <v>43</v>
      </c>
      <c r="E45" s="9" t="s">
        <v>50</v>
      </c>
      <c r="F45" s="8">
        <v>21</v>
      </c>
      <c r="G45" s="8">
        <v>25</v>
      </c>
      <c r="H45" s="8" t="s">
        <v>116</v>
      </c>
    </row>
    <row r="46" spans="2:8" x14ac:dyDescent="0.35">
      <c r="B46" s="8">
        <v>1042</v>
      </c>
      <c r="C46" s="9" t="s">
        <v>117</v>
      </c>
      <c r="D46" s="9" t="s">
        <v>46</v>
      </c>
      <c r="E46" s="9" t="s">
        <v>54</v>
      </c>
      <c r="F46" s="8">
        <v>30</v>
      </c>
      <c r="G46" s="8">
        <v>5</v>
      </c>
      <c r="H46" s="8" t="s">
        <v>118</v>
      </c>
    </row>
    <row r="47" spans="2:8" x14ac:dyDescent="0.35">
      <c r="B47" s="8">
        <v>1043</v>
      </c>
      <c r="C47" s="9" t="s">
        <v>119</v>
      </c>
      <c r="D47" s="9" t="s">
        <v>49</v>
      </c>
      <c r="E47" s="9" t="s">
        <v>57</v>
      </c>
      <c r="F47" s="8">
        <v>26</v>
      </c>
      <c r="G47" s="8">
        <v>8</v>
      </c>
      <c r="H47" s="10">
        <v>45294</v>
      </c>
    </row>
    <row r="48" spans="2:8" x14ac:dyDescent="0.35">
      <c r="B48" s="8">
        <v>1044</v>
      </c>
      <c r="C48" s="9" t="s">
        <v>120</v>
      </c>
      <c r="D48" s="9" t="s">
        <v>52</v>
      </c>
      <c r="E48" s="9" t="s">
        <v>44</v>
      </c>
      <c r="F48" s="8">
        <v>14</v>
      </c>
      <c r="G48" s="8">
        <v>50</v>
      </c>
      <c r="H48" s="10">
        <v>45325</v>
      </c>
    </row>
    <row r="49" spans="2:8" x14ac:dyDescent="0.35">
      <c r="B49" s="8">
        <v>1045</v>
      </c>
      <c r="C49" s="9" t="s">
        <v>121</v>
      </c>
      <c r="D49" s="9" t="s">
        <v>43</v>
      </c>
      <c r="E49" s="9" t="s">
        <v>47</v>
      </c>
      <c r="F49" s="8">
        <v>20</v>
      </c>
      <c r="G49" s="8">
        <v>10</v>
      </c>
      <c r="H49" s="10">
        <v>45354</v>
      </c>
    </row>
    <row r="50" spans="2:8" x14ac:dyDescent="0.35">
      <c r="B50" s="8">
        <v>1046</v>
      </c>
      <c r="C50" s="9" t="s">
        <v>122</v>
      </c>
      <c r="D50" s="9" t="s">
        <v>46</v>
      </c>
      <c r="E50" s="9" t="s">
        <v>50</v>
      </c>
      <c r="F50" s="8">
        <v>17</v>
      </c>
      <c r="G50" s="8">
        <v>25</v>
      </c>
      <c r="H50" s="10">
        <v>45385</v>
      </c>
    </row>
    <row r="51" spans="2:8" x14ac:dyDescent="0.35">
      <c r="B51" s="8">
        <v>1047</v>
      </c>
      <c r="C51" s="9" t="s">
        <v>123</v>
      </c>
      <c r="D51" s="9" t="s">
        <v>49</v>
      </c>
      <c r="E51" s="9" t="s">
        <v>54</v>
      </c>
      <c r="F51" s="8">
        <v>19</v>
      </c>
      <c r="G51" s="8">
        <v>5</v>
      </c>
      <c r="H51" s="10">
        <v>45415</v>
      </c>
    </row>
    <row r="52" spans="2:8" x14ac:dyDescent="0.35">
      <c r="B52" s="8">
        <v>1048</v>
      </c>
      <c r="C52" s="9" t="s">
        <v>124</v>
      </c>
      <c r="D52" s="9" t="s">
        <v>52</v>
      </c>
      <c r="E52" s="9" t="s">
        <v>57</v>
      </c>
      <c r="F52" s="8">
        <v>32</v>
      </c>
      <c r="G52" s="8">
        <v>8</v>
      </c>
      <c r="H52" s="10">
        <v>45446</v>
      </c>
    </row>
    <row r="53" spans="2:8" x14ac:dyDescent="0.35">
      <c r="B53" s="8">
        <v>1049</v>
      </c>
      <c r="C53" s="9" t="s">
        <v>125</v>
      </c>
      <c r="D53" s="9" t="s">
        <v>43</v>
      </c>
      <c r="E53" s="9" t="s">
        <v>44</v>
      </c>
      <c r="F53" s="8">
        <v>12</v>
      </c>
      <c r="G53" s="8">
        <v>50</v>
      </c>
      <c r="H53" s="10">
        <v>45476</v>
      </c>
    </row>
    <row r="54" spans="2:8" x14ac:dyDescent="0.35">
      <c r="B54" s="8">
        <v>1050</v>
      </c>
      <c r="C54" s="9" t="s">
        <v>126</v>
      </c>
      <c r="D54" s="9" t="s">
        <v>46</v>
      </c>
      <c r="E54" s="9" t="s">
        <v>47</v>
      </c>
      <c r="F54" s="8">
        <v>25</v>
      </c>
      <c r="G54" s="8">
        <v>10</v>
      </c>
      <c r="H54" s="10">
        <v>45507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1257-A42A-40D7-A375-D0A4CFE691FB}">
  <dimension ref="A1:P56"/>
  <sheetViews>
    <sheetView workbookViewId="0">
      <selection activeCell="L7" sqref="L7"/>
    </sheetView>
  </sheetViews>
  <sheetFormatPr defaultRowHeight="14.5" x14ac:dyDescent="0.35"/>
  <cols>
    <col min="4" max="4" width="14" bestFit="1" customWidth="1"/>
    <col min="6" max="6" width="9" bestFit="1" customWidth="1"/>
    <col min="9" max="9" width="10.08984375" bestFit="1" customWidth="1"/>
    <col min="12" max="12" width="10.1796875" bestFit="1" customWidth="1"/>
  </cols>
  <sheetData>
    <row r="1" spans="1:16" x14ac:dyDescent="0.35">
      <c r="A1" t="s">
        <v>131</v>
      </c>
    </row>
    <row r="3" spans="1:16" x14ac:dyDescent="0.35">
      <c r="A3" s="20" t="s">
        <v>132</v>
      </c>
      <c r="B3" t="s">
        <v>133</v>
      </c>
    </row>
    <row r="6" spans="1:16" x14ac:dyDescent="0.35">
      <c r="C6" s="7" t="s">
        <v>35</v>
      </c>
      <c r="D6" s="7" t="s">
        <v>36</v>
      </c>
      <c r="E6" s="7" t="s">
        <v>37</v>
      </c>
      <c r="F6" s="7" t="s">
        <v>38</v>
      </c>
      <c r="G6" s="7" t="s">
        <v>39</v>
      </c>
      <c r="H6" s="7" t="s">
        <v>40</v>
      </c>
      <c r="I6" s="7" t="s">
        <v>41</v>
      </c>
      <c r="L6" s="13" t="s">
        <v>28</v>
      </c>
      <c r="O6" s="15" t="s">
        <v>134</v>
      </c>
    </row>
    <row r="7" spans="1:16" x14ac:dyDescent="0.35">
      <c r="C7" s="8">
        <v>1001</v>
      </c>
      <c r="D7" s="9" t="s">
        <v>42</v>
      </c>
      <c r="E7" s="9" t="s">
        <v>43</v>
      </c>
      <c r="F7" s="9" t="s">
        <v>44</v>
      </c>
      <c r="G7" s="8">
        <v>10</v>
      </c>
      <c r="H7" s="8">
        <v>50</v>
      </c>
      <c r="I7" s="10">
        <v>45413</v>
      </c>
      <c r="L7">
        <f>G7*H7</f>
        <v>500</v>
      </c>
    </row>
    <row r="8" spans="1:16" x14ac:dyDescent="0.35">
      <c r="C8" s="8">
        <v>1002</v>
      </c>
      <c r="D8" s="9" t="s">
        <v>45</v>
      </c>
      <c r="E8" s="9" t="s">
        <v>46</v>
      </c>
      <c r="F8" s="9" t="s">
        <v>47</v>
      </c>
      <c r="G8" s="8">
        <v>20</v>
      </c>
      <c r="H8" s="8">
        <v>10</v>
      </c>
      <c r="I8" s="10">
        <v>45444</v>
      </c>
      <c r="L8">
        <f t="shared" ref="L8:L56" si="0">G8*H8</f>
        <v>200</v>
      </c>
    </row>
    <row r="9" spans="1:16" ht="18.5" x14ac:dyDescent="0.45">
      <c r="C9" s="8">
        <v>1003</v>
      </c>
      <c r="D9" s="9" t="s">
        <v>48</v>
      </c>
      <c r="E9" s="9" t="s">
        <v>49</v>
      </c>
      <c r="F9" s="9" t="s">
        <v>50</v>
      </c>
      <c r="G9" s="8">
        <v>15</v>
      </c>
      <c r="H9" s="8">
        <v>25</v>
      </c>
      <c r="I9" s="10">
        <v>45474</v>
      </c>
      <c r="L9">
        <f t="shared" si="0"/>
        <v>375</v>
      </c>
      <c r="N9" t="s">
        <v>136</v>
      </c>
      <c r="O9" s="14" t="s">
        <v>135</v>
      </c>
      <c r="P9" s="14"/>
    </row>
    <row r="10" spans="1:16" x14ac:dyDescent="0.35">
      <c r="C10" s="8">
        <v>1004</v>
      </c>
      <c r="D10" s="9" t="s">
        <v>51</v>
      </c>
      <c r="E10" s="9" t="s">
        <v>52</v>
      </c>
      <c r="F10" s="9" t="s">
        <v>44</v>
      </c>
      <c r="G10" s="8">
        <v>5</v>
      </c>
      <c r="H10" s="8">
        <v>50</v>
      </c>
      <c r="I10" s="10">
        <v>45505</v>
      </c>
      <c r="L10">
        <f t="shared" si="0"/>
        <v>250</v>
      </c>
      <c r="O10" t="s">
        <v>137</v>
      </c>
    </row>
    <row r="11" spans="1:16" x14ac:dyDescent="0.35">
      <c r="C11" s="8">
        <v>1005</v>
      </c>
      <c r="D11" s="9" t="s">
        <v>53</v>
      </c>
      <c r="E11" s="9" t="s">
        <v>43</v>
      </c>
      <c r="F11" s="9" t="s">
        <v>54</v>
      </c>
      <c r="G11" s="8">
        <v>30</v>
      </c>
      <c r="H11" s="8">
        <v>5</v>
      </c>
      <c r="I11" s="10">
        <v>45566</v>
      </c>
      <c r="L11">
        <f t="shared" si="0"/>
        <v>150</v>
      </c>
      <c r="O11" t="s">
        <v>152</v>
      </c>
    </row>
    <row r="12" spans="1:16" x14ac:dyDescent="0.35">
      <c r="C12" s="8">
        <v>1006</v>
      </c>
      <c r="D12" s="9" t="s">
        <v>55</v>
      </c>
      <c r="E12" s="9" t="s">
        <v>46</v>
      </c>
      <c r="F12" s="9" t="s">
        <v>44</v>
      </c>
      <c r="G12" s="8">
        <v>12</v>
      </c>
      <c r="H12" s="8">
        <v>50</v>
      </c>
      <c r="I12" s="10">
        <v>45597</v>
      </c>
      <c r="L12">
        <f t="shared" si="0"/>
        <v>600</v>
      </c>
    </row>
    <row r="13" spans="1:16" x14ac:dyDescent="0.35">
      <c r="C13" s="8">
        <v>1007</v>
      </c>
      <c r="D13" s="9" t="s">
        <v>56</v>
      </c>
      <c r="E13" s="9" t="s">
        <v>49</v>
      </c>
      <c r="F13" s="9" t="s">
        <v>57</v>
      </c>
      <c r="G13" s="8">
        <v>25</v>
      </c>
      <c r="H13" s="8">
        <v>8</v>
      </c>
      <c r="I13" s="8" t="s">
        <v>58</v>
      </c>
      <c r="L13">
        <f t="shared" si="0"/>
        <v>200</v>
      </c>
    </row>
    <row r="14" spans="1:16" x14ac:dyDescent="0.35">
      <c r="C14" s="8">
        <v>1008</v>
      </c>
      <c r="D14" s="9" t="s">
        <v>59</v>
      </c>
      <c r="E14" s="9" t="s">
        <v>52</v>
      </c>
      <c r="F14" s="9" t="s">
        <v>47</v>
      </c>
      <c r="G14" s="8">
        <v>18</v>
      </c>
      <c r="H14" s="8">
        <v>10</v>
      </c>
      <c r="I14" s="8" t="s">
        <v>60</v>
      </c>
      <c r="L14">
        <f t="shared" si="0"/>
        <v>180</v>
      </c>
    </row>
    <row r="15" spans="1:16" x14ac:dyDescent="0.35">
      <c r="C15" s="8">
        <v>1009</v>
      </c>
      <c r="D15" s="9" t="s">
        <v>61</v>
      </c>
      <c r="E15" s="9" t="s">
        <v>43</v>
      </c>
      <c r="F15" s="9" t="s">
        <v>50</v>
      </c>
      <c r="G15" s="8">
        <v>22</v>
      </c>
      <c r="H15" s="8">
        <v>25</v>
      </c>
      <c r="I15" s="8" t="s">
        <v>62</v>
      </c>
      <c r="L15">
        <f t="shared" si="0"/>
        <v>550</v>
      </c>
    </row>
    <row r="16" spans="1:16" x14ac:dyDescent="0.35">
      <c r="C16" s="8">
        <v>1010</v>
      </c>
      <c r="D16" s="9" t="s">
        <v>63</v>
      </c>
      <c r="E16" s="9" t="s">
        <v>46</v>
      </c>
      <c r="F16" s="9" t="s">
        <v>44</v>
      </c>
      <c r="G16" s="8">
        <v>8</v>
      </c>
      <c r="H16" s="8">
        <v>50</v>
      </c>
      <c r="I16" s="8" t="s">
        <v>64</v>
      </c>
      <c r="L16">
        <f t="shared" si="0"/>
        <v>400</v>
      </c>
    </row>
    <row r="17" spans="3:12" x14ac:dyDescent="0.35">
      <c r="C17" s="8">
        <v>1011</v>
      </c>
      <c r="D17" s="9" t="s">
        <v>65</v>
      </c>
      <c r="E17" s="9" t="s">
        <v>49</v>
      </c>
      <c r="F17" s="9" t="s">
        <v>54</v>
      </c>
      <c r="G17" s="8">
        <v>40</v>
      </c>
      <c r="H17" s="8">
        <v>5</v>
      </c>
      <c r="I17" s="8" t="s">
        <v>66</v>
      </c>
      <c r="L17">
        <f t="shared" si="0"/>
        <v>200</v>
      </c>
    </row>
    <row r="18" spans="3:12" x14ac:dyDescent="0.35">
      <c r="C18" s="8">
        <v>1012</v>
      </c>
      <c r="D18" s="9" t="s">
        <v>67</v>
      </c>
      <c r="E18" s="9" t="s">
        <v>52</v>
      </c>
      <c r="F18" s="9" t="s">
        <v>57</v>
      </c>
      <c r="G18" s="8">
        <v>35</v>
      </c>
      <c r="H18" s="8">
        <v>8</v>
      </c>
      <c r="I18" s="8" t="s">
        <v>68</v>
      </c>
      <c r="L18">
        <f t="shared" si="0"/>
        <v>280</v>
      </c>
    </row>
    <row r="19" spans="3:12" x14ac:dyDescent="0.35">
      <c r="C19" s="8">
        <v>1013</v>
      </c>
      <c r="D19" s="9" t="s">
        <v>69</v>
      </c>
      <c r="E19" s="9" t="s">
        <v>43</v>
      </c>
      <c r="F19" s="9" t="s">
        <v>44</v>
      </c>
      <c r="G19" s="8">
        <v>14</v>
      </c>
      <c r="H19" s="8">
        <v>50</v>
      </c>
      <c r="I19" s="8" t="s">
        <v>70</v>
      </c>
      <c r="L19">
        <f t="shared" si="0"/>
        <v>700</v>
      </c>
    </row>
    <row r="20" spans="3:12" x14ac:dyDescent="0.35">
      <c r="C20" s="8">
        <v>1014</v>
      </c>
      <c r="D20" s="9" t="s">
        <v>71</v>
      </c>
      <c r="E20" s="9" t="s">
        <v>46</v>
      </c>
      <c r="F20" s="9" t="s">
        <v>47</v>
      </c>
      <c r="G20" s="8">
        <v>28</v>
      </c>
      <c r="H20" s="8">
        <v>10</v>
      </c>
      <c r="I20" s="8" t="s">
        <v>72</v>
      </c>
      <c r="L20">
        <f t="shared" si="0"/>
        <v>280</v>
      </c>
    </row>
    <row r="21" spans="3:12" x14ac:dyDescent="0.35">
      <c r="C21" s="8">
        <v>1015</v>
      </c>
      <c r="D21" s="9" t="s">
        <v>73</v>
      </c>
      <c r="E21" s="9" t="s">
        <v>49</v>
      </c>
      <c r="F21" s="9" t="s">
        <v>50</v>
      </c>
      <c r="G21" s="8">
        <v>12</v>
      </c>
      <c r="H21" s="8">
        <v>25</v>
      </c>
      <c r="I21" s="8" t="s">
        <v>74</v>
      </c>
      <c r="L21">
        <f t="shared" si="0"/>
        <v>300</v>
      </c>
    </row>
    <row r="22" spans="3:12" x14ac:dyDescent="0.35">
      <c r="C22" s="8">
        <v>1016</v>
      </c>
      <c r="D22" s="9" t="s">
        <v>75</v>
      </c>
      <c r="E22" s="9" t="s">
        <v>52</v>
      </c>
      <c r="F22" s="9" t="s">
        <v>54</v>
      </c>
      <c r="G22" s="8">
        <v>25</v>
      </c>
      <c r="H22" s="8">
        <v>5</v>
      </c>
      <c r="I22" s="8" t="s">
        <v>76</v>
      </c>
      <c r="L22">
        <f t="shared" si="0"/>
        <v>125</v>
      </c>
    </row>
    <row r="23" spans="3:12" x14ac:dyDescent="0.35">
      <c r="C23" s="8">
        <v>1017</v>
      </c>
      <c r="D23" s="9" t="s">
        <v>77</v>
      </c>
      <c r="E23" s="9" t="s">
        <v>43</v>
      </c>
      <c r="F23" s="9" t="s">
        <v>57</v>
      </c>
      <c r="G23" s="8">
        <v>20</v>
      </c>
      <c r="H23" s="8">
        <v>8</v>
      </c>
      <c r="I23" s="8" t="s">
        <v>78</v>
      </c>
      <c r="L23">
        <f t="shared" si="0"/>
        <v>160</v>
      </c>
    </row>
    <row r="24" spans="3:12" x14ac:dyDescent="0.35">
      <c r="C24" s="8">
        <v>1018</v>
      </c>
      <c r="D24" s="9" t="s">
        <v>79</v>
      </c>
      <c r="E24" s="9" t="s">
        <v>46</v>
      </c>
      <c r="F24" s="9" t="s">
        <v>44</v>
      </c>
      <c r="G24" s="8">
        <v>10</v>
      </c>
      <c r="H24" s="8">
        <v>50</v>
      </c>
      <c r="I24" s="8" t="s">
        <v>80</v>
      </c>
      <c r="L24">
        <f t="shared" si="0"/>
        <v>500</v>
      </c>
    </row>
    <row r="25" spans="3:12" x14ac:dyDescent="0.35">
      <c r="C25" s="8">
        <v>1019</v>
      </c>
      <c r="D25" s="9" t="s">
        <v>81</v>
      </c>
      <c r="E25" s="9" t="s">
        <v>49</v>
      </c>
      <c r="F25" s="9" t="s">
        <v>47</v>
      </c>
      <c r="G25" s="8">
        <v>15</v>
      </c>
      <c r="H25" s="8">
        <v>10</v>
      </c>
      <c r="I25" s="8" t="s">
        <v>82</v>
      </c>
      <c r="L25">
        <f t="shared" si="0"/>
        <v>150</v>
      </c>
    </row>
    <row r="26" spans="3:12" x14ac:dyDescent="0.35">
      <c r="C26" s="8">
        <v>1020</v>
      </c>
      <c r="D26" s="9" t="s">
        <v>83</v>
      </c>
      <c r="E26" s="9" t="s">
        <v>52</v>
      </c>
      <c r="F26" s="9" t="s">
        <v>50</v>
      </c>
      <c r="G26" s="8">
        <v>18</v>
      </c>
      <c r="H26" s="8">
        <v>25</v>
      </c>
      <c r="I26" s="10">
        <v>45293</v>
      </c>
      <c r="L26">
        <f t="shared" si="0"/>
        <v>450</v>
      </c>
    </row>
    <row r="27" spans="3:12" x14ac:dyDescent="0.35">
      <c r="C27" s="8">
        <v>1021</v>
      </c>
      <c r="D27" s="9" t="s">
        <v>84</v>
      </c>
      <c r="E27" s="9" t="s">
        <v>43</v>
      </c>
      <c r="F27" s="9" t="s">
        <v>44</v>
      </c>
      <c r="G27" s="8">
        <v>9</v>
      </c>
      <c r="H27" s="8">
        <v>50</v>
      </c>
      <c r="I27" s="10">
        <v>45324</v>
      </c>
      <c r="L27">
        <f t="shared" si="0"/>
        <v>450</v>
      </c>
    </row>
    <row r="28" spans="3:12" x14ac:dyDescent="0.35">
      <c r="C28" s="8">
        <v>1022</v>
      </c>
      <c r="D28" s="9" t="s">
        <v>85</v>
      </c>
      <c r="E28" s="9" t="s">
        <v>46</v>
      </c>
      <c r="F28" s="9" t="s">
        <v>54</v>
      </c>
      <c r="G28" s="8">
        <v>35</v>
      </c>
      <c r="H28" s="8">
        <v>5</v>
      </c>
      <c r="I28" s="10">
        <v>45353</v>
      </c>
      <c r="L28">
        <f t="shared" si="0"/>
        <v>175</v>
      </c>
    </row>
    <row r="29" spans="3:12" x14ac:dyDescent="0.35">
      <c r="C29" s="8">
        <v>1023</v>
      </c>
      <c r="D29" s="9" t="s">
        <v>86</v>
      </c>
      <c r="E29" s="9" t="s">
        <v>49</v>
      </c>
      <c r="F29" s="9" t="s">
        <v>57</v>
      </c>
      <c r="G29" s="8">
        <v>30</v>
      </c>
      <c r="H29" s="8">
        <v>8</v>
      </c>
      <c r="I29" s="10">
        <v>45384</v>
      </c>
      <c r="L29">
        <f t="shared" si="0"/>
        <v>240</v>
      </c>
    </row>
    <row r="30" spans="3:12" x14ac:dyDescent="0.35">
      <c r="C30" s="8">
        <v>1024</v>
      </c>
      <c r="D30" s="9" t="s">
        <v>87</v>
      </c>
      <c r="E30" s="9" t="s">
        <v>52</v>
      </c>
      <c r="F30" s="9" t="s">
        <v>44</v>
      </c>
      <c r="G30" s="8">
        <v>11</v>
      </c>
      <c r="H30" s="8">
        <v>50</v>
      </c>
      <c r="I30" s="10">
        <v>45445</v>
      </c>
      <c r="L30">
        <f t="shared" si="0"/>
        <v>550</v>
      </c>
    </row>
    <row r="31" spans="3:12" x14ac:dyDescent="0.35">
      <c r="C31" s="8">
        <v>1025</v>
      </c>
      <c r="D31" s="9" t="s">
        <v>88</v>
      </c>
      <c r="E31" s="9" t="s">
        <v>43</v>
      </c>
      <c r="F31" s="9" t="s">
        <v>47</v>
      </c>
      <c r="G31" s="8">
        <v>14</v>
      </c>
      <c r="H31" s="8">
        <v>10</v>
      </c>
      <c r="I31" s="10">
        <v>45475</v>
      </c>
      <c r="L31">
        <f t="shared" si="0"/>
        <v>140</v>
      </c>
    </row>
    <row r="32" spans="3:12" x14ac:dyDescent="0.35">
      <c r="C32" s="8">
        <v>1026</v>
      </c>
      <c r="D32" s="9" t="s">
        <v>89</v>
      </c>
      <c r="E32" s="9" t="s">
        <v>46</v>
      </c>
      <c r="F32" s="9" t="s">
        <v>50</v>
      </c>
      <c r="G32" s="8">
        <v>16</v>
      </c>
      <c r="H32" s="8">
        <v>25</v>
      </c>
      <c r="I32" s="10">
        <v>45506</v>
      </c>
      <c r="L32">
        <f t="shared" si="0"/>
        <v>400</v>
      </c>
    </row>
    <row r="33" spans="3:12" x14ac:dyDescent="0.35">
      <c r="C33" s="8">
        <v>1027</v>
      </c>
      <c r="D33" s="9" t="s">
        <v>90</v>
      </c>
      <c r="E33" s="9" t="s">
        <v>49</v>
      </c>
      <c r="F33" s="9" t="s">
        <v>54</v>
      </c>
      <c r="G33" s="8">
        <v>22</v>
      </c>
      <c r="H33" s="8">
        <v>5</v>
      </c>
      <c r="I33" s="10">
        <v>45537</v>
      </c>
      <c r="L33">
        <f t="shared" si="0"/>
        <v>110</v>
      </c>
    </row>
    <row r="34" spans="3:12" x14ac:dyDescent="0.35">
      <c r="C34" s="8">
        <v>1028</v>
      </c>
      <c r="D34" s="9" t="s">
        <v>91</v>
      </c>
      <c r="E34" s="9" t="s">
        <v>52</v>
      </c>
      <c r="F34" s="9" t="s">
        <v>57</v>
      </c>
      <c r="G34" s="8">
        <v>27</v>
      </c>
      <c r="H34" s="8">
        <v>8</v>
      </c>
      <c r="I34" s="10">
        <v>45567</v>
      </c>
      <c r="L34">
        <f t="shared" si="0"/>
        <v>216</v>
      </c>
    </row>
    <row r="35" spans="3:12" x14ac:dyDescent="0.35">
      <c r="C35" s="8">
        <v>1029</v>
      </c>
      <c r="D35" s="9" t="s">
        <v>92</v>
      </c>
      <c r="E35" s="9" t="s">
        <v>43</v>
      </c>
      <c r="F35" s="9" t="s">
        <v>44</v>
      </c>
      <c r="G35" s="8">
        <v>13</v>
      </c>
      <c r="H35" s="8">
        <v>50</v>
      </c>
      <c r="I35" s="10">
        <v>45628</v>
      </c>
      <c r="L35">
        <f t="shared" si="0"/>
        <v>650</v>
      </c>
    </row>
    <row r="36" spans="3:12" x14ac:dyDescent="0.35">
      <c r="C36" s="8">
        <v>1030</v>
      </c>
      <c r="D36" s="9" t="s">
        <v>93</v>
      </c>
      <c r="E36" s="9" t="s">
        <v>46</v>
      </c>
      <c r="F36" s="9" t="s">
        <v>47</v>
      </c>
      <c r="G36" s="8">
        <v>32</v>
      </c>
      <c r="H36" s="8">
        <v>10</v>
      </c>
      <c r="I36" s="8" t="s">
        <v>94</v>
      </c>
      <c r="L36">
        <f t="shared" si="0"/>
        <v>320</v>
      </c>
    </row>
    <row r="37" spans="3:12" x14ac:dyDescent="0.35">
      <c r="C37" s="8">
        <v>1031</v>
      </c>
      <c r="D37" s="9" t="s">
        <v>95</v>
      </c>
      <c r="E37" s="9" t="s">
        <v>49</v>
      </c>
      <c r="F37" s="9" t="s">
        <v>50</v>
      </c>
      <c r="G37" s="8">
        <v>10</v>
      </c>
      <c r="H37" s="8">
        <v>25</v>
      </c>
      <c r="I37" s="8" t="s">
        <v>96</v>
      </c>
      <c r="L37">
        <f t="shared" si="0"/>
        <v>250</v>
      </c>
    </row>
    <row r="38" spans="3:12" x14ac:dyDescent="0.35">
      <c r="C38" s="8">
        <v>1032</v>
      </c>
      <c r="D38" s="9" t="s">
        <v>97</v>
      </c>
      <c r="E38" s="9" t="s">
        <v>52</v>
      </c>
      <c r="F38" s="9" t="s">
        <v>54</v>
      </c>
      <c r="G38" s="8">
        <v>18</v>
      </c>
      <c r="H38" s="8">
        <v>5</v>
      </c>
      <c r="I38" s="8" t="s">
        <v>98</v>
      </c>
      <c r="L38">
        <f t="shared" si="0"/>
        <v>90</v>
      </c>
    </row>
    <row r="39" spans="3:12" x14ac:dyDescent="0.35">
      <c r="C39" s="8">
        <v>1033</v>
      </c>
      <c r="D39" s="9" t="s">
        <v>99</v>
      </c>
      <c r="E39" s="9" t="s">
        <v>43</v>
      </c>
      <c r="F39" s="9" t="s">
        <v>57</v>
      </c>
      <c r="G39" s="8">
        <v>22</v>
      </c>
      <c r="H39" s="8">
        <v>8</v>
      </c>
      <c r="I39" s="8" t="s">
        <v>100</v>
      </c>
      <c r="L39">
        <f t="shared" si="0"/>
        <v>176</v>
      </c>
    </row>
    <row r="40" spans="3:12" x14ac:dyDescent="0.35">
      <c r="C40" s="8">
        <v>1034</v>
      </c>
      <c r="D40" s="9" t="s">
        <v>101</v>
      </c>
      <c r="E40" s="9" t="s">
        <v>46</v>
      </c>
      <c r="F40" s="9" t="s">
        <v>44</v>
      </c>
      <c r="G40" s="8">
        <v>17</v>
      </c>
      <c r="H40" s="8">
        <v>50</v>
      </c>
      <c r="I40" s="8" t="s">
        <v>102</v>
      </c>
      <c r="L40">
        <f t="shared" si="0"/>
        <v>850</v>
      </c>
    </row>
    <row r="41" spans="3:12" x14ac:dyDescent="0.35">
      <c r="C41" s="8">
        <v>1035</v>
      </c>
      <c r="D41" s="9" t="s">
        <v>103</v>
      </c>
      <c r="E41" s="9" t="s">
        <v>49</v>
      </c>
      <c r="F41" s="9" t="s">
        <v>47</v>
      </c>
      <c r="G41" s="8">
        <v>19</v>
      </c>
      <c r="H41" s="8">
        <v>10</v>
      </c>
      <c r="I41" s="8" t="s">
        <v>104</v>
      </c>
      <c r="L41">
        <f t="shared" si="0"/>
        <v>190</v>
      </c>
    </row>
    <row r="42" spans="3:12" x14ac:dyDescent="0.35">
      <c r="C42" s="8">
        <v>1036</v>
      </c>
      <c r="D42" s="9" t="s">
        <v>105</v>
      </c>
      <c r="E42" s="9" t="s">
        <v>52</v>
      </c>
      <c r="F42" s="9" t="s">
        <v>50</v>
      </c>
      <c r="G42" s="8">
        <v>15</v>
      </c>
      <c r="H42" s="8">
        <v>25</v>
      </c>
      <c r="I42" s="8" t="s">
        <v>106</v>
      </c>
      <c r="L42">
        <f t="shared" si="0"/>
        <v>375</v>
      </c>
    </row>
    <row r="43" spans="3:12" x14ac:dyDescent="0.35">
      <c r="C43" s="8">
        <v>1037</v>
      </c>
      <c r="D43" s="9" t="s">
        <v>107</v>
      </c>
      <c r="E43" s="9" t="s">
        <v>43</v>
      </c>
      <c r="F43" s="9" t="s">
        <v>54</v>
      </c>
      <c r="G43" s="8">
        <v>28</v>
      </c>
      <c r="H43" s="8">
        <v>5</v>
      </c>
      <c r="I43" s="8" t="s">
        <v>108</v>
      </c>
      <c r="L43">
        <f t="shared" si="0"/>
        <v>140</v>
      </c>
    </row>
    <row r="44" spans="3:12" x14ac:dyDescent="0.35">
      <c r="C44" s="8">
        <v>1038</v>
      </c>
      <c r="D44" s="9" t="s">
        <v>109</v>
      </c>
      <c r="E44" s="9" t="s">
        <v>46</v>
      </c>
      <c r="F44" s="9" t="s">
        <v>57</v>
      </c>
      <c r="G44" s="8">
        <v>24</v>
      </c>
      <c r="H44" s="8">
        <v>8</v>
      </c>
      <c r="I44" s="8" t="s">
        <v>110</v>
      </c>
      <c r="L44">
        <f t="shared" si="0"/>
        <v>192</v>
      </c>
    </row>
    <row r="45" spans="3:12" x14ac:dyDescent="0.35">
      <c r="C45" s="8">
        <v>1039</v>
      </c>
      <c r="D45" s="9" t="s">
        <v>111</v>
      </c>
      <c r="E45" s="9" t="s">
        <v>49</v>
      </c>
      <c r="F45" s="9" t="s">
        <v>44</v>
      </c>
      <c r="G45" s="8">
        <v>16</v>
      </c>
      <c r="H45" s="8">
        <v>50</v>
      </c>
      <c r="I45" s="8" t="s">
        <v>112</v>
      </c>
      <c r="L45">
        <f t="shared" si="0"/>
        <v>800</v>
      </c>
    </row>
    <row r="46" spans="3:12" x14ac:dyDescent="0.35">
      <c r="C46" s="8">
        <v>1040</v>
      </c>
      <c r="D46" s="9" t="s">
        <v>113</v>
      </c>
      <c r="E46" s="9" t="s">
        <v>52</v>
      </c>
      <c r="F46" s="9" t="s">
        <v>47</v>
      </c>
      <c r="G46" s="8">
        <v>27</v>
      </c>
      <c r="H46" s="8">
        <v>10</v>
      </c>
      <c r="I46" s="8" t="s">
        <v>114</v>
      </c>
      <c r="L46">
        <f t="shared" si="0"/>
        <v>270</v>
      </c>
    </row>
    <row r="47" spans="3:12" x14ac:dyDescent="0.35">
      <c r="C47" s="8">
        <v>1041</v>
      </c>
      <c r="D47" s="9" t="s">
        <v>115</v>
      </c>
      <c r="E47" s="9" t="s">
        <v>43</v>
      </c>
      <c r="F47" s="9" t="s">
        <v>50</v>
      </c>
      <c r="G47" s="8">
        <v>21</v>
      </c>
      <c r="H47" s="8">
        <v>25</v>
      </c>
      <c r="I47" s="8" t="s">
        <v>116</v>
      </c>
      <c r="L47">
        <f t="shared" si="0"/>
        <v>525</v>
      </c>
    </row>
    <row r="48" spans="3:12" x14ac:dyDescent="0.35">
      <c r="C48" s="8">
        <v>1042</v>
      </c>
      <c r="D48" s="9" t="s">
        <v>117</v>
      </c>
      <c r="E48" s="9" t="s">
        <v>46</v>
      </c>
      <c r="F48" s="9" t="s">
        <v>54</v>
      </c>
      <c r="G48" s="8">
        <v>30</v>
      </c>
      <c r="H48" s="8">
        <v>5</v>
      </c>
      <c r="I48" s="8" t="s">
        <v>118</v>
      </c>
      <c r="L48">
        <f t="shared" si="0"/>
        <v>150</v>
      </c>
    </row>
    <row r="49" spans="3:12" x14ac:dyDescent="0.35">
      <c r="C49" s="8">
        <v>1043</v>
      </c>
      <c r="D49" s="9" t="s">
        <v>119</v>
      </c>
      <c r="E49" s="9" t="s">
        <v>49</v>
      </c>
      <c r="F49" s="9" t="s">
        <v>57</v>
      </c>
      <c r="G49" s="8">
        <v>26</v>
      </c>
      <c r="H49" s="8">
        <v>8</v>
      </c>
      <c r="I49" s="10">
        <v>45294</v>
      </c>
      <c r="L49">
        <f t="shared" si="0"/>
        <v>208</v>
      </c>
    </row>
    <row r="50" spans="3:12" x14ac:dyDescent="0.35">
      <c r="C50" s="8">
        <v>1044</v>
      </c>
      <c r="D50" s="9" t="s">
        <v>120</v>
      </c>
      <c r="E50" s="9" t="s">
        <v>52</v>
      </c>
      <c r="F50" s="9" t="s">
        <v>44</v>
      </c>
      <c r="G50" s="8">
        <v>14</v>
      </c>
      <c r="H50" s="8">
        <v>50</v>
      </c>
      <c r="I50" s="10">
        <v>45325</v>
      </c>
      <c r="L50">
        <f t="shared" si="0"/>
        <v>700</v>
      </c>
    </row>
    <row r="51" spans="3:12" x14ac:dyDescent="0.35">
      <c r="C51" s="8">
        <v>1045</v>
      </c>
      <c r="D51" s="9" t="s">
        <v>121</v>
      </c>
      <c r="E51" s="9" t="s">
        <v>43</v>
      </c>
      <c r="F51" s="9" t="s">
        <v>47</v>
      </c>
      <c r="G51" s="8">
        <v>20</v>
      </c>
      <c r="H51" s="8">
        <v>10</v>
      </c>
      <c r="I51" s="10">
        <v>45354</v>
      </c>
      <c r="L51">
        <f t="shared" si="0"/>
        <v>200</v>
      </c>
    </row>
    <row r="52" spans="3:12" x14ac:dyDescent="0.35">
      <c r="C52" s="8">
        <v>1046</v>
      </c>
      <c r="D52" s="9" t="s">
        <v>122</v>
      </c>
      <c r="E52" s="9" t="s">
        <v>46</v>
      </c>
      <c r="F52" s="9" t="s">
        <v>50</v>
      </c>
      <c r="G52" s="8">
        <v>17</v>
      </c>
      <c r="H52" s="8">
        <v>25</v>
      </c>
      <c r="I52" s="10">
        <v>45385</v>
      </c>
      <c r="L52">
        <f t="shared" si="0"/>
        <v>425</v>
      </c>
    </row>
    <row r="53" spans="3:12" x14ac:dyDescent="0.35">
      <c r="C53" s="8">
        <v>1047</v>
      </c>
      <c r="D53" s="9" t="s">
        <v>123</v>
      </c>
      <c r="E53" s="9" t="s">
        <v>49</v>
      </c>
      <c r="F53" s="9" t="s">
        <v>54</v>
      </c>
      <c r="G53" s="8">
        <v>19</v>
      </c>
      <c r="H53" s="8">
        <v>5</v>
      </c>
      <c r="I53" s="10">
        <v>45415</v>
      </c>
      <c r="L53">
        <f t="shared" si="0"/>
        <v>95</v>
      </c>
    </row>
    <row r="54" spans="3:12" x14ac:dyDescent="0.35">
      <c r="C54" s="8">
        <v>1048</v>
      </c>
      <c r="D54" s="9" t="s">
        <v>124</v>
      </c>
      <c r="E54" s="9" t="s">
        <v>52</v>
      </c>
      <c r="F54" s="9" t="s">
        <v>57</v>
      </c>
      <c r="G54" s="8">
        <v>32</v>
      </c>
      <c r="H54" s="8">
        <v>8</v>
      </c>
      <c r="I54" s="10">
        <v>45446</v>
      </c>
      <c r="L54">
        <f t="shared" si="0"/>
        <v>256</v>
      </c>
    </row>
    <row r="55" spans="3:12" x14ac:dyDescent="0.35">
      <c r="C55" s="8">
        <v>1049</v>
      </c>
      <c r="D55" s="9" t="s">
        <v>125</v>
      </c>
      <c r="E55" s="9" t="s">
        <v>43</v>
      </c>
      <c r="F55" s="9" t="s">
        <v>44</v>
      </c>
      <c r="G55" s="8">
        <v>12</v>
      </c>
      <c r="H55" s="8">
        <v>50</v>
      </c>
      <c r="I55" s="10">
        <v>45476</v>
      </c>
      <c r="L55">
        <f t="shared" si="0"/>
        <v>600</v>
      </c>
    </row>
    <row r="56" spans="3:12" x14ac:dyDescent="0.35">
      <c r="C56" s="8">
        <v>1050</v>
      </c>
      <c r="D56" s="9" t="s">
        <v>126</v>
      </c>
      <c r="E56" s="9" t="s">
        <v>46</v>
      </c>
      <c r="F56" s="9" t="s">
        <v>47</v>
      </c>
      <c r="G56" s="8">
        <v>25</v>
      </c>
      <c r="H56" s="8">
        <v>10</v>
      </c>
      <c r="I56" s="10">
        <v>45507</v>
      </c>
      <c r="L56">
        <f t="shared" si="0"/>
        <v>250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3605B-3B20-439D-B665-DDB44D8FCA8A}">
  <dimension ref="A3:L56"/>
  <sheetViews>
    <sheetView workbookViewId="0">
      <selection activeCell="L6" sqref="L6"/>
    </sheetView>
  </sheetViews>
  <sheetFormatPr defaultRowHeight="14.5" x14ac:dyDescent="0.35"/>
  <cols>
    <col min="2" max="2" width="6.81640625" customWidth="1"/>
    <col min="3" max="3" width="14" bestFit="1" customWidth="1"/>
    <col min="5" max="5" width="9" bestFit="1" customWidth="1"/>
    <col min="8" max="9" width="10.08984375" bestFit="1" customWidth="1"/>
  </cols>
  <sheetData>
    <row r="3" spans="1:12" x14ac:dyDescent="0.35">
      <c r="A3" s="20" t="s">
        <v>138</v>
      </c>
      <c r="B3" t="s">
        <v>139</v>
      </c>
    </row>
    <row r="4" spans="1:12" ht="15.5" x14ac:dyDescent="0.35">
      <c r="K4" s="3" t="s">
        <v>140</v>
      </c>
    </row>
    <row r="6" spans="1:12" x14ac:dyDescent="0.35">
      <c r="B6" s="7" t="s">
        <v>35</v>
      </c>
      <c r="C6" s="7" t="s">
        <v>36</v>
      </c>
      <c r="D6" s="7" t="s">
        <v>37</v>
      </c>
      <c r="E6" s="7" t="s">
        <v>38</v>
      </c>
      <c r="F6" s="7" t="s">
        <v>39</v>
      </c>
      <c r="G6" s="7" t="s">
        <v>40</v>
      </c>
      <c r="H6" s="7" t="s">
        <v>41</v>
      </c>
      <c r="I6" s="7" t="s">
        <v>141</v>
      </c>
      <c r="L6">
        <f>SUMIFS(I7:I56,E7:E56,E7,D7:D56,D7)</f>
        <v>2900</v>
      </c>
    </row>
    <row r="7" spans="1:12" x14ac:dyDescent="0.35">
      <c r="B7" s="8">
        <v>1001</v>
      </c>
      <c r="C7" s="9" t="s">
        <v>42</v>
      </c>
      <c r="D7" s="9" t="s">
        <v>43</v>
      </c>
      <c r="E7" s="9" t="s">
        <v>44</v>
      </c>
      <c r="F7" s="8">
        <v>10</v>
      </c>
      <c r="G7" s="8">
        <v>50</v>
      </c>
      <c r="H7" s="10">
        <v>45413</v>
      </c>
      <c r="I7" s="16">
        <f>PRODUCT(F7,G7)</f>
        <v>500</v>
      </c>
    </row>
    <row r="8" spans="1:12" x14ac:dyDescent="0.35">
      <c r="B8" s="8">
        <v>1002</v>
      </c>
      <c r="C8" s="9" t="s">
        <v>45</v>
      </c>
      <c r="D8" s="9" t="s">
        <v>46</v>
      </c>
      <c r="E8" s="9" t="s">
        <v>47</v>
      </c>
      <c r="F8" s="8">
        <v>20</v>
      </c>
      <c r="G8" s="8">
        <v>10</v>
      </c>
      <c r="H8" s="10">
        <v>45444</v>
      </c>
      <c r="I8" s="16">
        <f t="shared" ref="I8:I56" si="0">PRODUCT(F8,G8)</f>
        <v>200</v>
      </c>
    </row>
    <row r="9" spans="1:12" ht="18.5" x14ac:dyDescent="0.45">
      <c r="B9" s="8">
        <v>1003</v>
      </c>
      <c r="C9" s="9" t="s">
        <v>48</v>
      </c>
      <c r="D9" s="9" t="s">
        <v>49</v>
      </c>
      <c r="E9" s="9" t="s">
        <v>50</v>
      </c>
      <c r="F9" s="8">
        <v>15</v>
      </c>
      <c r="G9" s="8">
        <v>25</v>
      </c>
      <c r="H9" s="10">
        <v>45474</v>
      </c>
      <c r="I9" s="16">
        <f t="shared" si="0"/>
        <v>375</v>
      </c>
      <c r="K9" s="12" t="s">
        <v>142</v>
      </c>
    </row>
    <row r="10" spans="1:12" x14ac:dyDescent="0.35">
      <c r="B10" s="8">
        <v>1004</v>
      </c>
      <c r="C10" s="9" t="s">
        <v>51</v>
      </c>
      <c r="D10" s="9" t="s">
        <v>52</v>
      </c>
      <c r="E10" s="9" t="s">
        <v>44</v>
      </c>
      <c r="F10" s="8">
        <v>5</v>
      </c>
      <c r="G10" s="8">
        <v>50</v>
      </c>
      <c r="H10" s="10">
        <v>45505</v>
      </c>
      <c r="I10" s="16">
        <f t="shared" si="0"/>
        <v>250</v>
      </c>
    </row>
    <row r="11" spans="1:12" x14ac:dyDescent="0.35">
      <c r="B11" s="8">
        <v>1005</v>
      </c>
      <c r="C11" s="9" t="s">
        <v>53</v>
      </c>
      <c r="D11" s="9" t="s">
        <v>43</v>
      </c>
      <c r="E11" s="9" t="s">
        <v>54</v>
      </c>
      <c r="F11" s="8">
        <v>30</v>
      </c>
      <c r="G11" s="8">
        <v>5</v>
      </c>
      <c r="H11" s="10">
        <v>45566</v>
      </c>
      <c r="I11" s="16">
        <f t="shared" si="0"/>
        <v>150</v>
      </c>
      <c r="K11" t="s">
        <v>143</v>
      </c>
    </row>
    <row r="12" spans="1:12" x14ac:dyDescent="0.35">
      <c r="B12" s="8">
        <v>1006</v>
      </c>
      <c r="C12" s="9" t="s">
        <v>55</v>
      </c>
      <c r="D12" s="9" t="s">
        <v>46</v>
      </c>
      <c r="E12" s="9" t="s">
        <v>44</v>
      </c>
      <c r="F12" s="8">
        <v>12</v>
      </c>
      <c r="G12" s="8">
        <v>50</v>
      </c>
      <c r="H12" s="10">
        <v>45597</v>
      </c>
      <c r="I12" s="16">
        <f t="shared" si="0"/>
        <v>600</v>
      </c>
    </row>
    <row r="13" spans="1:12" x14ac:dyDescent="0.35">
      <c r="B13" s="8">
        <v>1007</v>
      </c>
      <c r="C13" s="9" t="s">
        <v>56</v>
      </c>
      <c r="D13" s="9" t="s">
        <v>49</v>
      </c>
      <c r="E13" s="9" t="s">
        <v>57</v>
      </c>
      <c r="F13" s="8">
        <v>25</v>
      </c>
      <c r="G13" s="8">
        <v>8</v>
      </c>
      <c r="H13" s="8" t="s">
        <v>58</v>
      </c>
      <c r="I13" s="16">
        <f t="shared" si="0"/>
        <v>200</v>
      </c>
    </row>
    <row r="14" spans="1:12" x14ac:dyDescent="0.35">
      <c r="B14" s="8">
        <v>1008</v>
      </c>
      <c r="C14" s="9" t="s">
        <v>59</v>
      </c>
      <c r="D14" s="9" t="s">
        <v>52</v>
      </c>
      <c r="E14" s="9" t="s">
        <v>47</v>
      </c>
      <c r="F14" s="8">
        <v>18</v>
      </c>
      <c r="G14" s="8">
        <v>10</v>
      </c>
      <c r="H14" s="8" t="s">
        <v>60</v>
      </c>
      <c r="I14" s="16">
        <f t="shared" si="0"/>
        <v>180</v>
      </c>
    </row>
    <row r="15" spans="1:12" x14ac:dyDescent="0.35">
      <c r="B15" s="8">
        <v>1009</v>
      </c>
      <c r="C15" s="9" t="s">
        <v>61</v>
      </c>
      <c r="D15" s="9" t="s">
        <v>43</v>
      </c>
      <c r="E15" s="9" t="s">
        <v>50</v>
      </c>
      <c r="F15" s="8">
        <v>22</v>
      </c>
      <c r="G15" s="8">
        <v>25</v>
      </c>
      <c r="H15" s="8" t="s">
        <v>62</v>
      </c>
      <c r="I15" s="16">
        <f t="shared" si="0"/>
        <v>550</v>
      </c>
    </row>
    <row r="16" spans="1:12" x14ac:dyDescent="0.35">
      <c r="B16" s="8">
        <v>1010</v>
      </c>
      <c r="C16" s="9" t="s">
        <v>63</v>
      </c>
      <c r="D16" s="9" t="s">
        <v>46</v>
      </c>
      <c r="E16" s="9" t="s">
        <v>44</v>
      </c>
      <c r="F16" s="8">
        <v>8</v>
      </c>
      <c r="G16" s="8">
        <v>50</v>
      </c>
      <c r="H16" s="8" t="s">
        <v>64</v>
      </c>
      <c r="I16" s="16">
        <f t="shared" si="0"/>
        <v>400</v>
      </c>
    </row>
    <row r="17" spans="2:9" x14ac:dyDescent="0.35">
      <c r="B17" s="8">
        <v>1011</v>
      </c>
      <c r="C17" s="9" t="s">
        <v>65</v>
      </c>
      <c r="D17" s="9" t="s">
        <v>49</v>
      </c>
      <c r="E17" s="9" t="s">
        <v>54</v>
      </c>
      <c r="F17" s="8">
        <v>40</v>
      </c>
      <c r="G17" s="8">
        <v>5</v>
      </c>
      <c r="H17" s="8" t="s">
        <v>66</v>
      </c>
      <c r="I17" s="16">
        <f t="shared" si="0"/>
        <v>200</v>
      </c>
    </row>
    <row r="18" spans="2:9" x14ac:dyDescent="0.35">
      <c r="B18" s="8">
        <v>1012</v>
      </c>
      <c r="C18" s="9" t="s">
        <v>67</v>
      </c>
      <c r="D18" s="9" t="s">
        <v>52</v>
      </c>
      <c r="E18" s="9" t="s">
        <v>57</v>
      </c>
      <c r="F18" s="8">
        <v>35</v>
      </c>
      <c r="G18" s="8">
        <v>8</v>
      </c>
      <c r="H18" s="8" t="s">
        <v>68</v>
      </c>
      <c r="I18" s="16">
        <f t="shared" si="0"/>
        <v>280</v>
      </c>
    </row>
    <row r="19" spans="2:9" x14ac:dyDescent="0.35">
      <c r="B19" s="8">
        <v>1013</v>
      </c>
      <c r="C19" s="9" t="s">
        <v>69</v>
      </c>
      <c r="D19" s="9" t="s">
        <v>43</v>
      </c>
      <c r="E19" s="9" t="s">
        <v>44</v>
      </c>
      <c r="F19" s="8">
        <v>14</v>
      </c>
      <c r="G19" s="8">
        <v>50</v>
      </c>
      <c r="H19" s="8" t="s">
        <v>70</v>
      </c>
      <c r="I19" s="16">
        <f t="shared" si="0"/>
        <v>700</v>
      </c>
    </row>
    <row r="20" spans="2:9" x14ac:dyDescent="0.35">
      <c r="B20" s="8">
        <v>1014</v>
      </c>
      <c r="C20" s="9" t="s">
        <v>71</v>
      </c>
      <c r="D20" s="9" t="s">
        <v>46</v>
      </c>
      <c r="E20" s="9" t="s">
        <v>47</v>
      </c>
      <c r="F20" s="8">
        <v>28</v>
      </c>
      <c r="G20" s="8">
        <v>10</v>
      </c>
      <c r="H20" s="8" t="s">
        <v>72</v>
      </c>
      <c r="I20" s="16">
        <f t="shared" si="0"/>
        <v>280</v>
      </c>
    </row>
    <row r="21" spans="2:9" x14ac:dyDescent="0.35">
      <c r="B21" s="8">
        <v>1015</v>
      </c>
      <c r="C21" s="9" t="s">
        <v>73</v>
      </c>
      <c r="D21" s="9" t="s">
        <v>49</v>
      </c>
      <c r="E21" s="9" t="s">
        <v>50</v>
      </c>
      <c r="F21" s="8">
        <v>12</v>
      </c>
      <c r="G21" s="8">
        <v>25</v>
      </c>
      <c r="H21" s="8" t="s">
        <v>74</v>
      </c>
      <c r="I21" s="16">
        <f t="shared" si="0"/>
        <v>300</v>
      </c>
    </row>
    <row r="22" spans="2:9" x14ac:dyDescent="0.35">
      <c r="B22" s="8">
        <v>1016</v>
      </c>
      <c r="C22" s="9" t="s">
        <v>75</v>
      </c>
      <c r="D22" s="9" t="s">
        <v>52</v>
      </c>
      <c r="E22" s="9" t="s">
        <v>54</v>
      </c>
      <c r="F22" s="8">
        <v>25</v>
      </c>
      <c r="G22" s="8">
        <v>5</v>
      </c>
      <c r="H22" s="8" t="s">
        <v>76</v>
      </c>
      <c r="I22" s="16">
        <f t="shared" si="0"/>
        <v>125</v>
      </c>
    </row>
    <row r="23" spans="2:9" x14ac:dyDescent="0.35">
      <c r="B23" s="8">
        <v>1017</v>
      </c>
      <c r="C23" s="9" t="s">
        <v>77</v>
      </c>
      <c r="D23" s="9" t="s">
        <v>43</v>
      </c>
      <c r="E23" s="9" t="s">
        <v>57</v>
      </c>
      <c r="F23" s="8">
        <v>20</v>
      </c>
      <c r="G23" s="8">
        <v>8</v>
      </c>
      <c r="H23" s="8" t="s">
        <v>78</v>
      </c>
      <c r="I23" s="16">
        <f t="shared" si="0"/>
        <v>160</v>
      </c>
    </row>
    <row r="24" spans="2:9" x14ac:dyDescent="0.35">
      <c r="B24" s="8">
        <v>1018</v>
      </c>
      <c r="C24" s="9" t="s">
        <v>79</v>
      </c>
      <c r="D24" s="9" t="s">
        <v>46</v>
      </c>
      <c r="E24" s="9" t="s">
        <v>44</v>
      </c>
      <c r="F24" s="8">
        <v>10</v>
      </c>
      <c r="G24" s="8">
        <v>50</v>
      </c>
      <c r="H24" s="8" t="s">
        <v>80</v>
      </c>
      <c r="I24" s="16">
        <f t="shared" si="0"/>
        <v>500</v>
      </c>
    </row>
    <row r="25" spans="2:9" x14ac:dyDescent="0.35">
      <c r="B25" s="8">
        <v>1019</v>
      </c>
      <c r="C25" s="9" t="s">
        <v>81</v>
      </c>
      <c r="D25" s="9" t="s">
        <v>49</v>
      </c>
      <c r="E25" s="9" t="s">
        <v>47</v>
      </c>
      <c r="F25" s="8">
        <v>15</v>
      </c>
      <c r="G25" s="8">
        <v>10</v>
      </c>
      <c r="H25" s="8" t="s">
        <v>82</v>
      </c>
      <c r="I25" s="16">
        <f t="shared" si="0"/>
        <v>150</v>
      </c>
    </row>
    <row r="26" spans="2:9" x14ac:dyDescent="0.35">
      <c r="B26" s="8">
        <v>1020</v>
      </c>
      <c r="C26" s="9" t="s">
        <v>83</v>
      </c>
      <c r="D26" s="9" t="s">
        <v>52</v>
      </c>
      <c r="E26" s="9" t="s">
        <v>50</v>
      </c>
      <c r="F26" s="8">
        <v>18</v>
      </c>
      <c r="G26" s="8">
        <v>25</v>
      </c>
      <c r="H26" s="10">
        <v>45293</v>
      </c>
      <c r="I26" s="16">
        <f t="shared" si="0"/>
        <v>450</v>
      </c>
    </row>
    <row r="27" spans="2:9" x14ac:dyDescent="0.35">
      <c r="B27" s="8">
        <v>1021</v>
      </c>
      <c r="C27" s="9" t="s">
        <v>84</v>
      </c>
      <c r="D27" s="9" t="s">
        <v>43</v>
      </c>
      <c r="E27" s="9" t="s">
        <v>44</v>
      </c>
      <c r="F27" s="8">
        <v>9</v>
      </c>
      <c r="G27" s="8">
        <v>50</v>
      </c>
      <c r="H27" s="10">
        <v>45324</v>
      </c>
      <c r="I27" s="16">
        <f t="shared" si="0"/>
        <v>450</v>
      </c>
    </row>
    <row r="28" spans="2:9" x14ac:dyDescent="0.35">
      <c r="B28" s="8">
        <v>1022</v>
      </c>
      <c r="C28" s="9" t="s">
        <v>85</v>
      </c>
      <c r="D28" s="9" t="s">
        <v>46</v>
      </c>
      <c r="E28" s="9" t="s">
        <v>54</v>
      </c>
      <c r="F28" s="8">
        <v>35</v>
      </c>
      <c r="G28" s="8">
        <v>5</v>
      </c>
      <c r="H28" s="10">
        <v>45353</v>
      </c>
      <c r="I28" s="16">
        <f t="shared" si="0"/>
        <v>175</v>
      </c>
    </row>
    <row r="29" spans="2:9" x14ac:dyDescent="0.35">
      <c r="B29" s="8">
        <v>1023</v>
      </c>
      <c r="C29" s="9" t="s">
        <v>86</v>
      </c>
      <c r="D29" s="9" t="s">
        <v>49</v>
      </c>
      <c r="E29" s="9" t="s">
        <v>57</v>
      </c>
      <c r="F29" s="8">
        <v>30</v>
      </c>
      <c r="G29" s="8">
        <v>8</v>
      </c>
      <c r="H29" s="10">
        <v>45384</v>
      </c>
      <c r="I29" s="16">
        <f t="shared" si="0"/>
        <v>240</v>
      </c>
    </row>
    <row r="30" spans="2:9" x14ac:dyDescent="0.35">
      <c r="B30" s="8">
        <v>1024</v>
      </c>
      <c r="C30" s="9" t="s">
        <v>87</v>
      </c>
      <c r="D30" s="9" t="s">
        <v>52</v>
      </c>
      <c r="E30" s="9" t="s">
        <v>44</v>
      </c>
      <c r="F30" s="8">
        <v>11</v>
      </c>
      <c r="G30" s="8">
        <v>50</v>
      </c>
      <c r="H30" s="10">
        <v>45445</v>
      </c>
      <c r="I30" s="16">
        <f t="shared" si="0"/>
        <v>550</v>
      </c>
    </row>
    <row r="31" spans="2:9" x14ac:dyDescent="0.35">
      <c r="B31" s="8">
        <v>1025</v>
      </c>
      <c r="C31" s="9" t="s">
        <v>88</v>
      </c>
      <c r="D31" s="9" t="s">
        <v>43</v>
      </c>
      <c r="E31" s="9" t="s">
        <v>47</v>
      </c>
      <c r="F31" s="8">
        <v>14</v>
      </c>
      <c r="G31" s="8">
        <v>10</v>
      </c>
      <c r="H31" s="10">
        <v>45475</v>
      </c>
      <c r="I31" s="16">
        <f t="shared" si="0"/>
        <v>140</v>
      </c>
    </row>
    <row r="32" spans="2:9" x14ac:dyDescent="0.35">
      <c r="B32" s="8">
        <v>1026</v>
      </c>
      <c r="C32" s="9" t="s">
        <v>89</v>
      </c>
      <c r="D32" s="9" t="s">
        <v>46</v>
      </c>
      <c r="E32" s="9" t="s">
        <v>50</v>
      </c>
      <c r="F32" s="8">
        <v>16</v>
      </c>
      <c r="G32" s="8">
        <v>25</v>
      </c>
      <c r="H32" s="10">
        <v>45506</v>
      </c>
      <c r="I32" s="16">
        <f t="shared" si="0"/>
        <v>400</v>
      </c>
    </row>
    <row r="33" spans="2:9" x14ac:dyDescent="0.35">
      <c r="B33" s="8">
        <v>1027</v>
      </c>
      <c r="C33" s="9" t="s">
        <v>90</v>
      </c>
      <c r="D33" s="9" t="s">
        <v>49</v>
      </c>
      <c r="E33" s="9" t="s">
        <v>54</v>
      </c>
      <c r="F33" s="8">
        <v>22</v>
      </c>
      <c r="G33" s="8">
        <v>5</v>
      </c>
      <c r="H33" s="10">
        <v>45537</v>
      </c>
      <c r="I33" s="16">
        <f t="shared" si="0"/>
        <v>110</v>
      </c>
    </row>
    <row r="34" spans="2:9" x14ac:dyDescent="0.35">
      <c r="B34" s="8">
        <v>1028</v>
      </c>
      <c r="C34" s="9" t="s">
        <v>91</v>
      </c>
      <c r="D34" s="9" t="s">
        <v>52</v>
      </c>
      <c r="E34" s="9" t="s">
        <v>57</v>
      </c>
      <c r="F34" s="8">
        <v>27</v>
      </c>
      <c r="G34" s="8">
        <v>8</v>
      </c>
      <c r="H34" s="10">
        <v>45567</v>
      </c>
      <c r="I34" s="16">
        <f t="shared" si="0"/>
        <v>216</v>
      </c>
    </row>
    <row r="35" spans="2:9" x14ac:dyDescent="0.35">
      <c r="B35" s="8">
        <v>1029</v>
      </c>
      <c r="C35" s="9" t="s">
        <v>92</v>
      </c>
      <c r="D35" s="9" t="s">
        <v>43</v>
      </c>
      <c r="E35" s="9" t="s">
        <v>44</v>
      </c>
      <c r="F35" s="8">
        <v>13</v>
      </c>
      <c r="G35" s="8">
        <v>50</v>
      </c>
      <c r="H35" s="10">
        <v>45628</v>
      </c>
      <c r="I35" s="16">
        <f t="shared" si="0"/>
        <v>650</v>
      </c>
    </row>
    <row r="36" spans="2:9" x14ac:dyDescent="0.35">
      <c r="B36" s="8">
        <v>1030</v>
      </c>
      <c r="C36" s="9" t="s">
        <v>93</v>
      </c>
      <c r="D36" s="9" t="s">
        <v>46</v>
      </c>
      <c r="E36" s="9" t="s">
        <v>47</v>
      </c>
      <c r="F36" s="8">
        <v>32</v>
      </c>
      <c r="G36" s="8">
        <v>10</v>
      </c>
      <c r="H36" s="8" t="s">
        <v>94</v>
      </c>
      <c r="I36" s="16">
        <f t="shared" si="0"/>
        <v>320</v>
      </c>
    </row>
    <row r="37" spans="2:9" x14ac:dyDescent="0.35">
      <c r="B37" s="8">
        <v>1031</v>
      </c>
      <c r="C37" s="9" t="s">
        <v>95</v>
      </c>
      <c r="D37" s="9" t="s">
        <v>49</v>
      </c>
      <c r="E37" s="9" t="s">
        <v>50</v>
      </c>
      <c r="F37" s="8">
        <v>10</v>
      </c>
      <c r="G37" s="8">
        <v>25</v>
      </c>
      <c r="H37" s="8" t="s">
        <v>96</v>
      </c>
      <c r="I37" s="16">
        <f t="shared" si="0"/>
        <v>250</v>
      </c>
    </row>
    <row r="38" spans="2:9" x14ac:dyDescent="0.35">
      <c r="B38" s="8">
        <v>1032</v>
      </c>
      <c r="C38" s="9" t="s">
        <v>97</v>
      </c>
      <c r="D38" s="9" t="s">
        <v>52</v>
      </c>
      <c r="E38" s="9" t="s">
        <v>54</v>
      </c>
      <c r="F38" s="8">
        <v>18</v>
      </c>
      <c r="G38" s="8">
        <v>5</v>
      </c>
      <c r="H38" s="8" t="s">
        <v>98</v>
      </c>
      <c r="I38" s="16">
        <f t="shared" si="0"/>
        <v>90</v>
      </c>
    </row>
    <row r="39" spans="2:9" x14ac:dyDescent="0.35">
      <c r="B39" s="8">
        <v>1033</v>
      </c>
      <c r="C39" s="9" t="s">
        <v>99</v>
      </c>
      <c r="D39" s="9" t="s">
        <v>43</v>
      </c>
      <c r="E39" s="9" t="s">
        <v>57</v>
      </c>
      <c r="F39" s="8">
        <v>22</v>
      </c>
      <c r="G39" s="8">
        <v>8</v>
      </c>
      <c r="H39" s="8" t="s">
        <v>100</v>
      </c>
      <c r="I39" s="16">
        <f t="shared" si="0"/>
        <v>176</v>
      </c>
    </row>
    <row r="40" spans="2:9" x14ac:dyDescent="0.35">
      <c r="B40" s="8">
        <v>1034</v>
      </c>
      <c r="C40" s="9" t="s">
        <v>101</v>
      </c>
      <c r="D40" s="9" t="s">
        <v>46</v>
      </c>
      <c r="E40" s="9" t="s">
        <v>44</v>
      </c>
      <c r="F40" s="8">
        <v>17</v>
      </c>
      <c r="G40" s="8">
        <v>50</v>
      </c>
      <c r="H40" s="8" t="s">
        <v>102</v>
      </c>
      <c r="I40" s="16">
        <f t="shared" si="0"/>
        <v>850</v>
      </c>
    </row>
    <row r="41" spans="2:9" x14ac:dyDescent="0.35">
      <c r="B41" s="8">
        <v>1035</v>
      </c>
      <c r="C41" s="9" t="s">
        <v>103</v>
      </c>
      <c r="D41" s="9" t="s">
        <v>49</v>
      </c>
      <c r="E41" s="9" t="s">
        <v>47</v>
      </c>
      <c r="F41" s="8">
        <v>19</v>
      </c>
      <c r="G41" s="8">
        <v>10</v>
      </c>
      <c r="H41" s="8" t="s">
        <v>104</v>
      </c>
      <c r="I41" s="16">
        <f t="shared" si="0"/>
        <v>190</v>
      </c>
    </row>
    <row r="42" spans="2:9" x14ac:dyDescent="0.35">
      <c r="B42" s="8">
        <v>1036</v>
      </c>
      <c r="C42" s="9" t="s">
        <v>105</v>
      </c>
      <c r="D42" s="9" t="s">
        <v>52</v>
      </c>
      <c r="E42" s="9" t="s">
        <v>50</v>
      </c>
      <c r="F42" s="8">
        <v>15</v>
      </c>
      <c r="G42" s="8">
        <v>25</v>
      </c>
      <c r="H42" s="8" t="s">
        <v>106</v>
      </c>
      <c r="I42" s="16">
        <f t="shared" si="0"/>
        <v>375</v>
      </c>
    </row>
    <row r="43" spans="2:9" x14ac:dyDescent="0.35">
      <c r="B43" s="8">
        <v>1037</v>
      </c>
      <c r="C43" s="9" t="s">
        <v>107</v>
      </c>
      <c r="D43" s="9" t="s">
        <v>43</v>
      </c>
      <c r="E43" s="9" t="s">
        <v>54</v>
      </c>
      <c r="F43" s="8">
        <v>28</v>
      </c>
      <c r="G43" s="8">
        <v>5</v>
      </c>
      <c r="H43" s="8" t="s">
        <v>108</v>
      </c>
      <c r="I43" s="16">
        <f t="shared" si="0"/>
        <v>140</v>
      </c>
    </row>
    <row r="44" spans="2:9" x14ac:dyDescent="0.35">
      <c r="B44" s="8">
        <v>1038</v>
      </c>
      <c r="C44" s="9" t="s">
        <v>109</v>
      </c>
      <c r="D44" s="9" t="s">
        <v>46</v>
      </c>
      <c r="E44" s="9" t="s">
        <v>57</v>
      </c>
      <c r="F44" s="8">
        <v>24</v>
      </c>
      <c r="G44" s="8">
        <v>8</v>
      </c>
      <c r="H44" s="8" t="s">
        <v>110</v>
      </c>
      <c r="I44" s="16">
        <f t="shared" si="0"/>
        <v>192</v>
      </c>
    </row>
    <row r="45" spans="2:9" x14ac:dyDescent="0.35">
      <c r="B45" s="8">
        <v>1039</v>
      </c>
      <c r="C45" s="9" t="s">
        <v>111</v>
      </c>
      <c r="D45" s="9" t="s">
        <v>49</v>
      </c>
      <c r="E45" s="9" t="s">
        <v>44</v>
      </c>
      <c r="F45" s="8">
        <v>16</v>
      </c>
      <c r="G45" s="8">
        <v>50</v>
      </c>
      <c r="H45" s="8" t="s">
        <v>112</v>
      </c>
      <c r="I45" s="16">
        <f t="shared" si="0"/>
        <v>800</v>
      </c>
    </row>
    <row r="46" spans="2:9" x14ac:dyDescent="0.35">
      <c r="B46" s="8">
        <v>1040</v>
      </c>
      <c r="C46" s="9" t="s">
        <v>113</v>
      </c>
      <c r="D46" s="9" t="s">
        <v>52</v>
      </c>
      <c r="E46" s="9" t="s">
        <v>47</v>
      </c>
      <c r="F46" s="8">
        <v>27</v>
      </c>
      <c r="G46" s="8">
        <v>10</v>
      </c>
      <c r="H46" s="8" t="s">
        <v>114</v>
      </c>
      <c r="I46" s="16">
        <f t="shared" si="0"/>
        <v>270</v>
      </c>
    </row>
    <row r="47" spans="2:9" x14ac:dyDescent="0.35">
      <c r="B47" s="8">
        <v>1041</v>
      </c>
      <c r="C47" s="9" t="s">
        <v>115</v>
      </c>
      <c r="D47" s="9" t="s">
        <v>43</v>
      </c>
      <c r="E47" s="9" t="s">
        <v>50</v>
      </c>
      <c r="F47" s="8">
        <v>21</v>
      </c>
      <c r="G47" s="8">
        <v>25</v>
      </c>
      <c r="H47" s="8" t="s">
        <v>116</v>
      </c>
      <c r="I47" s="16">
        <f t="shared" si="0"/>
        <v>525</v>
      </c>
    </row>
    <row r="48" spans="2:9" x14ac:dyDescent="0.35">
      <c r="B48" s="8">
        <v>1042</v>
      </c>
      <c r="C48" s="9" t="s">
        <v>117</v>
      </c>
      <c r="D48" s="9" t="s">
        <v>46</v>
      </c>
      <c r="E48" s="9" t="s">
        <v>54</v>
      </c>
      <c r="F48" s="8">
        <v>30</v>
      </c>
      <c r="G48" s="8">
        <v>5</v>
      </c>
      <c r="H48" s="8" t="s">
        <v>118</v>
      </c>
      <c r="I48" s="16">
        <f t="shared" si="0"/>
        <v>150</v>
      </c>
    </row>
    <row r="49" spans="2:9" x14ac:dyDescent="0.35">
      <c r="B49" s="8">
        <v>1043</v>
      </c>
      <c r="C49" s="9" t="s">
        <v>119</v>
      </c>
      <c r="D49" s="9" t="s">
        <v>49</v>
      </c>
      <c r="E49" s="9" t="s">
        <v>57</v>
      </c>
      <c r="F49" s="8">
        <v>26</v>
      </c>
      <c r="G49" s="8">
        <v>8</v>
      </c>
      <c r="H49" s="10">
        <v>45294</v>
      </c>
      <c r="I49" s="16">
        <f t="shared" si="0"/>
        <v>208</v>
      </c>
    </row>
    <row r="50" spans="2:9" x14ac:dyDescent="0.35">
      <c r="B50" s="8">
        <v>1044</v>
      </c>
      <c r="C50" s="9" t="s">
        <v>120</v>
      </c>
      <c r="D50" s="9" t="s">
        <v>52</v>
      </c>
      <c r="E50" s="9" t="s">
        <v>44</v>
      </c>
      <c r="F50" s="8">
        <v>14</v>
      </c>
      <c r="G50" s="8">
        <v>50</v>
      </c>
      <c r="H50" s="10">
        <v>45325</v>
      </c>
      <c r="I50" s="16">
        <f t="shared" si="0"/>
        <v>700</v>
      </c>
    </row>
    <row r="51" spans="2:9" x14ac:dyDescent="0.35">
      <c r="B51" s="8">
        <v>1045</v>
      </c>
      <c r="C51" s="9" t="s">
        <v>121</v>
      </c>
      <c r="D51" s="9" t="s">
        <v>43</v>
      </c>
      <c r="E51" s="9" t="s">
        <v>47</v>
      </c>
      <c r="F51" s="8">
        <v>20</v>
      </c>
      <c r="G51" s="8">
        <v>10</v>
      </c>
      <c r="H51" s="10">
        <v>45354</v>
      </c>
      <c r="I51" s="16">
        <f t="shared" si="0"/>
        <v>200</v>
      </c>
    </row>
    <row r="52" spans="2:9" x14ac:dyDescent="0.35">
      <c r="B52" s="8">
        <v>1046</v>
      </c>
      <c r="C52" s="9" t="s">
        <v>122</v>
      </c>
      <c r="D52" s="9" t="s">
        <v>46</v>
      </c>
      <c r="E52" s="9" t="s">
        <v>50</v>
      </c>
      <c r="F52" s="8">
        <v>17</v>
      </c>
      <c r="G52" s="8">
        <v>25</v>
      </c>
      <c r="H52" s="10">
        <v>45385</v>
      </c>
      <c r="I52" s="16">
        <f t="shared" si="0"/>
        <v>425</v>
      </c>
    </row>
    <row r="53" spans="2:9" x14ac:dyDescent="0.35">
      <c r="B53" s="8">
        <v>1047</v>
      </c>
      <c r="C53" s="9" t="s">
        <v>123</v>
      </c>
      <c r="D53" s="9" t="s">
        <v>49</v>
      </c>
      <c r="E53" s="9" t="s">
        <v>54</v>
      </c>
      <c r="F53" s="8">
        <v>19</v>
      </c>
      <c r="G53" s="8">
        <v>5</v>
      </c>
      <c r="H53" s="10">
        <v>45415</v>
      </c>
      <c r="I53" s="16">
        <f t="shared" si="0"/>
        <v>95</v>
      </c>
    </row>
    <row r="54" spans="2:9" x14ac:dyDescent="0.35">
      <c r="B54" s="8">
        <v>1048</v>
      </c>
      <c r="C54" s="9" t="s">
        <v>124</v>
      </c>
      <c r="D54" s="9" t="s">
        <v>52</v>
      </c>
      <c r="E54" s="9" t="s">
        <v>57</v>
      </c>
      <c r="F54" s="8">
        <v>32</v>
      </c>
      <c r="G54" s="8">
        <v>8</v>
      </c>
      <c r="H54" s="10">
        <v>45446</v>
      </c>
      <c r="I54" s="16">
        <f t="shared" si="0"/>
        <v>256</v>
      </c>
    </row>
    <row r="55" spans="2:9" x14ac:dyDescent="0.35">
      <c r="B55" s="8">
        <v>1049</v>
      </c>
      <c r="C55" s="9" t="s">
        <v>125</v>
      </c>
      <c r="D55" s="9" t="s">
        <v>43</v>
      </c>
      <c r="E55" s="9" t="s">
        <v>44</v>
      </c>
      <c r="F55" s="8">
        <v>12</v>
      </c>
      <c r="G55" s="8">
        <v>50</v>
      </c>
      <c r="H55" s="10">
        <v>45476</v>
      </c>
      <c r="I55" s="16">
        <f t="shared" si="0"/>
        <v>600</v>
      </c>
    </row>
    <row r="56" spans="2:9" x14ac:dyDescent="0.35">
      <c r="B56" s="8">
        <v>1050</v>
      </c>
      <c r="C56" s="9" t="s">
        <v>126</v>
      </c>
      <c r="D56" s="9" t="s">
        <v>46</v>
      </c>
      <c r="E56" s="9" t="s">
        <v>47</v>
      </c>
      <c r="F56" s="8">
        <v>25</v>
      </c>
      <c r="G56" s="8">
        <v>10</v>
      </c>
      <c r="H56" s="10">
        <v>45507</v>
      </c>
      <c r="I56" s="16">
        <f t="shared" si="0"/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84DD-0AC3-4609-9C6C-F2FC08F60240}">
  <dimension ref="A2:I55"/>
  <sheetViews>
    <sheetView workbookViewId="0">
      <selection activeCell="J3" sqref="J3"/>
    </sheetView>
  </sheetViews>
  <sheetFormatPr defaultRowHeight="14.5" x14ac:dyDescent="0.35"/>
  <cols>
    <col min="3" max="3" width="14" bestFit="1" customWidth="1"/>
    <col min="8" max="8" width="10.08984375" bestFit="1" customWidth="1"/>
    <col min="9" max="9" width="9.7265625" bestFit="1" customWidth="1"/>
  </cols>
  <sheetData>
    <row r="2" spans="1:9" x14ac:dyDescent="0.35">
      <c r="A2" s="20" t="s">
        <v>144</v>
      </c>
      <c r="B2" t="s">
        <v>145</v>
      </c>
    </row>
    <row r="5" spans="1:9" x14ac:dyDescent="0.35">
      <c r="B5" s="17" t="s">
        <v>35</v>
      </c>
      <c r="C5" s="17" t="s">
        <v>36</v>
      </c>
      <c r="D5" s="17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8" t="s">
        <v>141</v>
      </c>
    </row>
    <row r="6" spans="1:9" x14ac:dyDescent="0.35">
      <c r="B6" s="8">
        <v>1001</v>
      </c>
      <c r="C6" s="9" t="s">
        <v>42</v>
      </c>
      <c r="D6" s="9" t="s">
        <v>43</v>
      </c>
      <c r="E6" s="9" t="s">
        <v>44</v>
      </c>
      <c r="F6" s="8">
        <v>10</v>
      </c>
      <c r="G6" s="8">
        <v>50</v>
      </c>
      <c r="H6" s="10">
        <v>45413</v>
      </c>
      <c r="I6" s="19">
        <f>PRODUCT(F6,G6)</f>
        <v>500</v>
      </c>
    </row>
    <row r="7" spans="1:9" x14ac:dyDescent="0.35">
      <c r="B7" s="8">
        <v>1002</v>
      </c>
      <c r="C7" s="9" t="s">
        <v>45</v>
      </c>
      <c r="D7" s="9" t="s">
        <v>46</v>
      </c>
      <c r="E7" s="9" t="s">
        <v>47</v>
      </c>
      <c r="F7" s="8">
        <v>20</v>
      </c>
      <c r="G7" s="8">
        <v>10</v>
      </c>
      <c r="H7" s="10">
        <v>45444</v>
      </c>
      <c r="I7" s="19">
        <f t="shared" ref="I7:I55" si="0">PRODUCT(F7,G7)</f>
        <v>200</v>
      </c>
    </row>
    <row r="8" spans="1:9" x14ac:dyDescent="0.35">
      <c r="B8" s="8">
        <v>1003</v>
      </c>
      <c r="C8" s="9" t="s">
        <v>48</v>
      </c>
      <c r="D8" s="9" t="s">
        <v>49</v>
      </c>
      <c r="E8" s="9" t="s">
        <v>50</v>
      </c>
      <c r="F8" s="8">
        <v>15</v>
      </c>
      <c r="G8" s="8">
        <v>25</v>
      </c>
      <c r="H8" s="10">
        <v>45474</v>
      </c>
      <c r="I8" s="19">
        <f t="shared" si="0"/>
        <v>375</v>
      </c>
    </row>
    <row r="9" spans="1:9" x14ac:dyDescent="0.35">
      <c r="B9" s="8">
        <v>1004</v>
      </c>
      <c r="C9" s="9" t="s">
        <v>51</v>
      </c>
      <c r="D9" s="9" t="s">
        <v>52</v>
      </c>
      <c r="E9" s="9" t="s">
        <v>44</v>
      </c>
      <c r="F9" s="8">
        <v>5</v>
      </c>
      <c r="G9" s="8">
        <v>50</v>
      </c>
      <c r="H9" s="10">
        <v>45505</v>
      </c>
      <c r="I9" s="19">
        <f t="shared" si="0"/>
        <v>250</v>
      </c>
    </row>
    <row r="10" spans="1:9" x14ac:dyDescent="0.35">
      <c r="B10" s="8">
        <v>1005</v>
      </c>
      <c r="C10" s="9" t="s">
        <v>53</v>
      </c>
      <c r="D10" s="9" t="s">
        <v>43</v>
      </c>
      <c r="E10" s="9" t="s">
        <v>54</v>
      </c>
      <c r="F10" s="8">
        <v>30</v>
      </c>
      <c r="G10" s="8">
        <v>5</v>
      </c>
      <c r="H10" s="10">
        <v>45566</v>
      </c>
      <c r="I10" s="19">
        <f t="shared" si="0"/>
        <v>150</v>
      </c>
    </row>
    <row r="11" spans="1:9" x14ac:dyDescent="0.35">
      <c r="B11" s="8">
        <v>1006</v>
      </c>
      <c r="C11" s="9" t="s">
        <v>55</v>
      </c>
      <c r="D11" s="9" t="s">
        <v>46</v>
      </c>
      <c r="E11" s="9" t="s">
        <v>44</v>
      </c>
      <c r="F11" s="8">
        <v>12</v>
      </c>
      <c r="G11" s="8">
        <v>50</v>
      </c>
      <c r="H11" s="10">
        <v>45597</v>
      </c>
      <c r="I11" s="19">
        <f t="shared" si="0"/>
        <v>600</v>
      </c>
    </row>
    <row r="12" spans="1:9" x14ac:dyDescent="0.35">
      <c r="B12" s="8">
        <v>1007</v>
      </c>
      <c r="C12" s="9" t="s">
        <v>56</v>
      </c>
      <c r="D12" s="9" t="s">
        <v>49</v>
      </c>
      <c r="E12" s="9" t="s">
        <v>57</v>
      </c>
      <c r="F12" s="8">
        <v>25</v>
      </c>
      <c r="G12" s="8">
        <v>8</v>
      </c>
      <c r="H12" s="8" t="s">
        <v>58</v>
      </c>
      <c r="I12" s="19">
        <f t="shared" si="0"/>
        <v>200</v>
      </c>
    </row>
    <row r="13" spans="1:9" x14ac:dyDescent="0.35">
      <c r="B13" s="8">
        <v>1008</v>
      </c>
      <c r="C13" s="9" t="s">
        <v>59</v>
      </c>
      <c r="D13" s="9" t="s">
        <v>52</v>
      </c>
      <c r="E13" s="9" t="s">
        <v>47</v>
      </c>
      <c r="F13" s="8">
        <v>18</v>
      </c>
      <c r="G13" s="8">
        <v>10</v>
      </c>
      <c r="H13" s="8" t="s">
        <v>60</v>
      </c>
      <c r="I13" s="19">
        <f t="shared" si="0"/>
        <v>180</v>
      </c>
    </row>
    <row r="14" spans="1:9" x14ac:dyDescent="0.35">
      <c r="B14" s="8">
        <v>1009</v>
      </c>
      <c r="C14" s="9" t="s">
        <v>61</v>
      </c>
      <c r="D14" s="9" t="s">
        <v>43</v>
      </c>
      <c r="E14" s="9" t="s">
        <v>50</v>
      </c>
      <c r="F14" s="8">
        <v>22</v>
      </c>
      <c r="G14" s="8">
        <v>25</v>
      </c>
      <c r="H14" s="8" t="s">
        <v>62</v>
      </c>
      <c r="I14" s="19">
        <f t="shared" si="0"/>
        <v>550</v>
      </c>
    </row>
    <row r="15" spans="1:9" x14ac:dyDescent="0.35">
      <c r="B15" s="8">
        <v>1010</v>
      </c>
      <c r="C15" s="9" t="s">
        <v>63</v>
      </c>
      <c r="D15" s="9" t="s">
        <v>46</v>
      </c>
      <c r="E15" s="9" t="s">
        <v>44</v>
      </c>
      <c r="F15" s="8">
        <v>8</v>
      </c>
      <c r="G15" s="8">
        <v>50</v>
      </c>
      <c r="H15" s="8" t="s">
        <v>64</v>
      </c>
      <c r="I15" s="19">
        <f t="shared" si="0"/>
        <v>400</v>
      </c>
    </row>
    <row r="16" spans="1:9" x14ac:dyDescent="0.35">
      <c r="B16" s="8">
        <v>1011</v>
      </c>
      <c r="C16" s="9" t="s">
        <v>65</v>
      </c>
      <c r="D16" s="9" t="s">
        <v>49</v>
      </c>
      <c r="E16" s="9" t="s">
        <v>54</v>
      </c>
      <c r="F16" s="8">
        <v>40</v>
      </c>
      <c r="G16" s="8">
        <v>5</v>
      </c>
      <c r="H16" s="8" t="s">
        <v>66</v>
      </c>
      <c r="I16" s="19">
        <f t="shared" si="0"/>
        <v>200</v>
      </c>
    </row>
    <row r="17" spans="2:9" x14ac:dyDescent="0.35">
      <c r="B17" s="8">
        <v>1012</v>
      </c>
      <c r="C17" s="9" t="s">
        <v>67</v>
      </c>
      <c r="D17" s="9" t="s">
        <v>52</v>
      </c>
      <c r="E17" s="9" t="s">
        <v>57</v>
      </c>
      <c r="F17" s="8">
        <v>35</v>
      </c>
      <c r="G17" s="8">
        <v>8</v>
      </c>
      <c r="H17" s="8" t="s">
        <v>68</v>
      </c>
      <c r="I17" s="19">
        <f t="shared" si="0"/>
        <v>280</v>
      </c>
    </row>
    <row r="18" spans="2:9" x14ac:dyDescent="0.35">
      <c r="B18" s="8">
        <v>1013</v>
      </c>
      <c r="C18" s="9" t="s">
        <v>69</v>
      </c>
      <c r="D18" s="9" t="s">
        <v>43</v>
      </c>
      <c r="E18" s="9" t="s">
        <v>44</v>
      </c>
      <c r="F18" s="8">
        <v>14</v>
      </c>
      <c r="G18" s="8">
        <v>50</v>
      </c>
      <c r="H18" s="8" t="s">
        <v>70</v>
      </c>
      <c r="I18" s="19">
        <f t="shared" si="0"/>
        <v>700</v>
      </c>
    </row>
    <row r="19" spans="2:9" x14ac:dyDescent="0.35">
      <c r="B19" s="8">
        <v>1014</v>
      </c>
      <c r="C19" s="9" t="s">
        <v>71</v>
      </c>
      <c r="D19" s="9" t="s">
        <v>46</v>
      </c>
      <c r="E19" s="9" t="s">
        <v>47</v>
      </c>
      <c r="F19" s="8">
        <v>28</v>
      </c>
      <c r="G19" s="8">
        <v>10</v>
      </c>
      <c r="H19" s="8" t="s">
        <v>72</v>
      </c>
      <c r="I19" s="19">
        <f t="shared" si="0"/>
        <v>280</v>
      </c>
    </row>
    <row r="20" spans="2:9" x14ac:dyDescent="0.35">
      <c r="B20" s="8">
        <v>1015</v>
      </c>
      <c r="C20" s="9" t="s">
        <v>73</v>
      </c>
      <c r="D20" s="9" t="s">
        <v>49</v>
      </c>
      <c r="E20" s="9" t="s">
        <v>50</v>
      </c>
      <c r="F20" s="8">
        <v>12</v>
      </c>
      <c r="G20" s="8">
        <v>25</v>
      </c>
      <c r="H20" s="8" t="s">
        <v>74</v>
      </c>
      <c r="I20" s="19">
        <f t="shared" si="0"/>
        <v>300</v>
      </c>
    </row>
    <row r="21" spans="2:9" x14ac:dyDescent="0.35">
      <c r="B21" s="8">
        <v>1016</v>
      </c>
      <c r="C21" s="9" t="s">
        <v>75</v>
      </c>
      <c r="D21" s="9" t="s">
        <v>52</v>
      </c>
      <c r="E21" s="9" t="s">
        <v>54</v>
      </c>
      <c r="F21" s="8">
        <v>25</v>
      </c>
      <c r="G21" s="8">
        <v>5</v>
      </c>
      <c r="H21" s="8" t="s">
        <v>76</v>
      </c>
      <c r="I21" s="19">
        <f t="shared" si="0"/>
        <v>125</v>
      </c>
    </row>
    <row r="22" spans="2:9" x14ac:dyDescent="0.35">
      <c r="B22" s="8">
        <v>1017</v>
      </c>
      <c r="C22" s="9" t="s">
        <v>77</v>
      </c>
      <c r="D22" s="9" t="s">
        <v>43</v>
      </c>
      <c r="E22" s="9" t="s">
        <v>57</v>
      </c>
      <c r="F22" s="8">
        <v>20</v>
      </c>
      <c r="G22" s="8">
        <v>8</v>
      </c>
      <c r="H22" s="8" t="s">
        <v>78</v>
      </c>
      <c r="I22" s="19">
        <f t="shared" si="0"/>
        <v>160</v>
      </c>
    </row>
    <row r="23" spans="2:9" x14ac:dyDescent="0.35">
      <c r="B23" s="8">
        <v>1018</v>
      </c>
      <c r="C23" s="9" t="s">
        <v>79</v>
      </c>
      <c r="D23" s="9" t="s">
        <v>46</v>
      </c>
      <c r="E23" s="9" t="s">
        <v>44</v>
      </c>
      <c r="F23" s="8">
        <v>10</v>
      </c>
      <c r="G23" s="8">
        <v>50</v>
      </c>
      <c r="H23" s="8" t="s">
        <v>80</v>
      </c>
      <c r="I23" s="19">
        <f t="shared" si="0"/>
        <v>500</v>
      </c>
    </row>
    <row r="24" spans="2:9" x14ac:dyDescent="0.35">
      <c r="B24" s="8">
        <v>1019</v>
      </c>
      <c r="C24" s="9" t="s">
        <v>81</v>
      </c>
      <c r="D24" s="9" t="s">
        <v>49</v>
      </c>
      <c r="E24" s="9" t="s">
        <v>47</v>
      </c>
      <c r="F24" s="8">
        <v>15</v>
      </c>
      <c r="G24" s="8">
        <v>10</v>
      </c>
      <c r="H24" s="8" t="s">
        <v>82</v>
      </c>
      <c r="I24" s="19">
        <f t="shared" si="0"/>
        <v>150</v>
      </c>
    </row>
    <row r="25" spans="2:9" x14ac:dyDescent="0.35">
      <c r="B25" s="8">
        <v>1020</v>
      </c>
      <c r="C25" s="9" t="s">
        <v>83</v>
      </c>
      <c r="D25" s="9" t="s">
        <v>52</v>
      </c>
      <c r="E25" s="9" t="s">
        <v>50</v>
      </c>
      <c r="F25" s="8">
        <v>18</v>
      </c>
      <c r="G25" s="8">
        <v>25</v>
      </c>
      <c r="H25" s="10">
        <v>45293</v>
      </c>
      <c r="I25" s="19">
        <f t="shared" si="0"/>
        <v>450</v>
      </c>
    </row>
    <row r="26" spans="2:9" x14ac:dyDescent="0.35">
      <c r="B26" s="8">
        <v>1021</v>
      </c>
      <c r="C26" s="9" t="s">
        <v>84</v>
      </c>
      <c r="D26" s="9" t="s">
        <v>43</v>
      </c>
      <c r="E26" s="9" t="s">
        <v>44</v>
      </c>
      <c r="F26" s="8">
        <v>9</v>
      </c>
      <c r="G26" s="8">
        <v>50</v>
      </c>
      <c r="H26" s="10">
        <v>45324</v>
      </c>
      <c r="I26" s="19">
        <f t="shared" si="0"/>
        <v>450</v>
      </c>
    </row>
    <row r="27" spans="2:9" x14ac:dyDescent="0.35">
      <c r="B27" s="8">
        <v>1022</v>
      </c>
      <c r="C27" s="9" t="s">
        <v>85</v>
      </c>
      <c r="D27" s="9" t="s">
        <v>46</v>
      </c>
      <c r="E27" s="9" t="s">
        <v>54</v>
      </c>
      <c r="F27" s="8">
        <v>35</v>
      </c>
      <c r="G27" s="8">
        <v>5</v>
      </c>
      <c r="H27" s="10">
        <v>45353</v>
      </c>
      <c r="I27" s="19">
        <f t="shared" si="0"/>
        <v>175</v>
      </c>
    </row>
    <row r="28" spans="2:9" x14ac:dyDescent="0.35">
      <c r="B28" s="8">
        <v>1023</v>
      </c>
      <c r="C28" s="9" t="s">
        <v>86</v>
      </c>
      <c r="D28" s="9" t="s">
        <v>49</v>
      </c>
      <c r="E28" s="9" t="s">
        <v>57</v>
      </c>
      <c r="F28" s="8">
        <v>30</v>
      </c>
      <c r="G28" s="8">
        <v>8</v>
      </c>
      <c r="H28" s="10">
        <v>45384</v>
      </c>
      <c r="I28" s="19">
        <f t="shared" si="0"/>
        <v>240</v>
      </c>
    </row>
    <row r="29" spans="2:9" x14ac:dyDescent="0.35">
      <c r="B29" s="8">
        <v>1024</v>
      </c>
      <c r="C29" s="9" t="s">
        <v>87</v>
      </c>
      <c r="D29" s="9" t="s">
        <v>52</v>
      </c>
      <c r="E29" s="9" t="s">
        <v>44</v>
      </c>
      <c r="F29" s="8">
        <v>11</v>
      </c>
      <c r="G29" s="8">
        <v>50</v>
      </c>
      <c r="H29" s="10">
        <v>45445</v>
      </c>
      <c r="I29" s="19">
        <f t="shared" si="0"/>
        <v>550</v>
      </c>
    </row>
    <row r="30" spans="2:9" x14ac:dyDescent="0.35">
      <c r="B30" s="8">
        <v>1025</v>
      </c>
      <c r="C30" s="9" t="s">
        <v>88</v>
      </c>
      <c r="D30" s="9" t="s">
        <v>43</v>
      </c>
      <c r="E30" s="9" t="s">
        <v>47</v>
      </c>
      <c r="F30" s="8">
        <v>14</v>
      </c>
      <c r="G30" s="8">
        <v>10</v>
      </c>
      <c r="H30" s="10">
        <v>45475</v>
      </c>
      <c r="I30" s="19">
        <f t="shared" si="0"/>
        <v>140</v>
      </c>
    </row>
    <row r="31" spans="2:9" x14ac:dyDescent="0.35">
      <c r="B31" s="8">
        <v>1026</v>
      </c>
      <c r="C31" s="9" t="s">
        <v>89</v>
      </c>
      <c r="D31" s="9" t="s">
        <v>46</v>
      </c>
      <c r="E31" s="9" t="s">
        <v>50</v>
      </c>
      <c r="F31" s="8">
        <v>16</v>
      </c>
      <c r="G31" s="8">
        <v>25</v>
      </c>
      <c r="H31" s="10">
        <v>45506</v>
      </c>
      <c r="I31" s="19">
        <f t="shared" si="0"/>
        <v>400</v>
      </c>
    </row>
    <row r="32" spans="2:9" x14ac:dyDescent="0.35">
      <c r="B32" s="8">
        <v>1027</v>
      </c>
      <c r="C32" s="9" t="s">
        <v>90</v>
      </c>
      <c r="D32" s="9" t="s">
        <v>49</v>
      </c>
      <c r="E32" s="9" t="s">
        <v>54</v>
      </c>
      <c r="F32" s="8">
        <v>22</v>
      </c>
      <c r="G32" s="8">
        <v>5</v>
      </c>
      <c r="H32" s="10">
        <v>45537</v>
      </c>
      <c r="I32" s="19">
        <f t="shared" si="0"/>
        <v>110</v>
      </c>
    </row>
    <row r="33" spans="2:9" x14ac:dyDescent="0.35">
      <c r="B33" s="8">
        <v>1028</v>
      </c>
      <c r="C33" s="9" t="s">
        <v>91</v>
      </c>
      <c r="D33" s="9" t="s">
        <v>52</v>
      </c>
      <c r="E33" s="9" t="s">
        <v>57</v>
      </c>
      <c r="F33" s="8">
        <v>27</v>
      </c>
      <c r="G33" s="8">
        <v>8</v>
      </c>
      <c r="H33" s="10">
        <v>45567</v>
      </c>
      <c r="I33" s="19">
        <f t="shared" si="0"/>
        <v>216</v>
      </c>
    </row>
    <row r="34" spans="2:9" x14ac:dyDescent="0.35">
      <c r="B34" s="8">
        <v>1029</v>
      </c>
      <c r="C34" s="9" t="s">
        <v>92</v>
      </c>
      <c r="D34" s="9" t="s">
        <v>43</v>
      </c>
      <c r="E34" s="9" t="s">
        <v>44</v>
      </c>
      <c r="F34" s="8">
        <v>13</v>
      </c>
      <c r="G34" s="8">
        <v>50</v>
      </c>
      <c r="H34" s="10">
        <v>45628</v>
      </c>
      <c r="I34" s="19">
        <f t="shared" si="0"/>
        <v>650</v>
      </c>
    </row>
    <row r="35" spans="2:9" x14ac:dyDescent="0.35">
      <c r="B35" s="8">
        <v>1030</v>
      </c>
      <c r="C35" s="9" t="s">
        <v>93</v>
      </c>
      <c r="D35" s="9" t="s">
        <v>46</v>
      </c>
      <c r="E35" s="9" t="s">
        <v>47</v>
      </c>
      <c r="F35" s="8">
        <v>32</v>
      </c>
      <c r="G35" s="8">
        <v>10</v>
      </c>
      <c r="H35" s="8" t="s">
        <v>94</v>
      </c>
      <c r="I35" s="19">
        <f t="shared" si="0"/>
        <v>320</v>
      </c>
    </row>
    <row r="36" spans="2:9" x14ac:dyDescent="0.35">
      <c r="B36" s="8">
        <v>1031</v>
      </c>
      <c r="C36" s="9" t="s">
        <v>95</v>
      </c>
      <c r="D36" s="9" t="s">
        <v>49</v>
      </c>
      <c r="E36" s="9" t="s">
        <v>50</v>
      </c>
      <c r="F36" s="8">
        <v>10</v>
      </c>
      <c r="G36" s="8">
        <v>25</v>
      </c>
      <c r="H36" s="8" t="s">
        <v>96</v>
      </c>
      <c r="I36" s="19">
        <f t="shared" si="0"/>
        <v>250</v>
      </c>
    </row>
    <row r="37" spans="2:9" x14ac:dyDescent="0.35">
      <c r="B37" s="8">
        <v>1032</v>
      </c>
      <c r="C37" s="9" t="s">
        <v>97</v>
      </c>
      <c r="D37" s="9" t="s">
        <v>52</v>
      </c>
      <c r="E37" s="9" t="s">
        <v>54</v>
      </c>
      <c r="F37" s="8">
        <v>18</v>
      </c>
      <c r="G37" s="8">
        <v>5</v>
      </c>
      <c r="H37" s="8" t="s">
        <v>98</v>
      </c>
      <c r="I37" s="19">
        <f t="shared" si="0"/>
        <v>90</v>
      </c>
    </row>
    <row r="38" spans="2:9" x14ac:dyDescent="0.35">
      <c r="B38" s="8">
        <v>1033</v>
      </c>
      <c r="C38" s="9" t="s">
        <v>99</v>
      </c>
      <c r="D38" s="9" t="s">
        <v>43</v>
      </c>
      <c r="E38" s="9" t="s">
        <v>57</v>
      </c>
      <c r="F38" s="8">
        <v>22</v>
      </c>
      <c r="G38" s="8">
        <v>8</v>
      </c>
      <c r="H38" s="8" t="s">
        <v>100</v>
      </c>
      <c r="I38" s="19">
        <f t="shared" si="0"/>
        <v>176</v>
      </c>
    </row>
    <row r="39" spans="2:9" x14ac:dyDescent="0.35">
      <c r="B39" s="8">
        <v>1034</v>
      </c>
      <c r="C39" s="9" t="s">
        <v>101</v>
      </c>
      <c r="D39" s="9" t="s">
        <v>46</v>
      </c>
      <c r="E39" s="9" t="s">
        <v>44</v>
      </c>
      <c r="F39" s="8">
        <v>17</v>
      </c>
      <c r="G39" s="8">
        <v>50</v>
      </c>
      <c r="H39" s="8" t="s">
        <v>102</v>
      </c>
      <c r="I39" s="19">
        <f t="shared" si="0"/>
        <v>850</v>
      </c>
    </row>
    <row r="40" spans="2:9" x14ac:dyDescent="0.35">
      <c r="B40" s="8">
        <v>1035</v>
      </c>
      <c r="C40" s="9" t="s">
        <v>103</v>
      </c>
      <c r="D40" s="9" t="s">
        <v>49</v>
      </c>
      <c r="E40" s="9" t="s">
        <v>47</v>
      </c>
      <c r="F40" s="8">
        <v>19</v>
      </c>
      <c r="G40" s="8">
        <v>10</v>
      </c>
      <c r="H40" s="8" t="s">
        <v>104</v>
      </c>
      <c r="I40" s="19">
        <f t="shared" si="0"/>
        <v>190</v>
      </c>
    </row>
    <row r="41" spans="2:9" x14ac:dyDescent="0.35">
      <c r="B41" s="8">
        <v>1036</v>
      </c>
      <c r="C41" s="9" t="s">
        <v>105</v>
      </c>
      <c r="D41" s="9" t="s">
        <v>52</v>
      </c>
      <c r="E41" s="9" t="s">
        <v>50</v>
      </c>
      <c r="F41" s="8">
        <v>15</v>
      </c>
      <c r="G41" s="8">
        <v>25</v>
      </c>
      <c r="H41" s="8" t="s">
        <v>106</v>
      </c>
      <c r="I41" s="19">
        <f t="shared" si="0"/>
        <v>375</v>
      </c>
    </row>
    <row r="42" spans="2:9" x14ac:dyDescent="0.35">
      <c r="B42" s="8">
        <v>1037</v>
      </c>
      <c r="C42" s="9" t="s">
        <v>107</v>
      </c>
      <c r="D42" s="9" t="s">
        <v>43</v>
      </c>
      <c r="E42" s="9" t="s">
        <v>54</v>
      </c>
      <c r="F42" s="8">
        <v>28</v>
      </c>
      <c r="G42" s="8">
        <v>5</v>
      </c>
      <c r="H42" s="8" t="s">
        <v>108</v>
      </c>
      <c r="I42" s="19">
        <f t="shared" si="0"/>
        <v>140</v>
      </c>
    </row>
    <row r="43" spans="2:9" x14ac:dyDescent="0.35">
      <c r="B43" s="8">
        <v>1038</v>
      </c>
      <c r="C43" s="9" t="s">
        <v>109</v>
      </c>
      <c r="D43" s="9" t="s">
        <v>46</v>
      </c>
      <c r="E43" s="9" t="s">
        <v>57</v>
      </c>
      <c r="F43" s="8">
        <v>24</v>
      </c>
      <c r="G43" s="8">
        <v>8</v>
      </c>
      <c r="H43" s="8" t="s">
        <v>110</v>
      </c>
      <c r="I43" s="19">
        <f t="shared" si="0"/>
        <v>192</v>
      </c>
    </row>
    <row r="44" spans="2:9" x14ac:dyDescent="0.35">
      <c r="B44" s="8">
        <v>1039</v>
      </c>
      <c r="C44" s="9" t="s">
        <v>111</v>
      </c>
      <c r="D44" s="9" t="s">
        <v>49</v>
      </c>
      <c r="E44" s="9" t="s">
        <v>44</v>
      </c>
      <c r="F44" s="8">
        <v>16</v>
      </c>
      <c r="G44" s="8">
        <v>50</v>
      </c>
      <c r="H44" s="8" t="s">
        <v>112</v>
      </c>
      <c r="I44" s="19">
        <f t="shared" si="0"/>
        <v>800</v>
      </c>
    </row>
    <row r="45" spans="2:9" x14ac:dyDescent="0.35">
      <c r="B45" s="8">
        <v>1040</v>
      </c>
      <c r="C45" s="9" t="s">
        <v>113</v>
      </c>
      <c r="D45" s="9" t="s">
        <v>52</v>
      </c>
      <c r="E45" s="9" t="s">
        <v>47</v>
      </c>
      <c r="F45" s="8">
        <v>27</v>
      </c>
      <c r="G45" s="8">
        <v>10</v>
      </c>
      <c r="H45" s="8" t="s">
        <v>114</v>
      </c>
      <c r="I45" s="19">
        <f t="shared" si="0"/>
        <v>270</v>
      </c>
    </row>
    <row r="46" spans="2:9" x14ac:dyDescent="0.35">
      <c r="B46" s="8">
        <v>1041</v>
      </c>
      <c r="C46" s="9" t="s">
        <v>115</v>
      </c>
      <c r="D46" s="9" t="s">
        <v>43</v>
      </c>
      <c r="E46" s="9" t="s">
        <v>50</v>
      </c>
      <c r="F46" s="8">
        <v>21</v>
      </c>
      <c r="G46" s="8">
        <v>25</v>
      </c>
      <c r="H46" s="8" t="s">
        <v>116</v>
      </c>
      <c r="I46" s="19">
        <f t="shared" si="0"/>
        <v>525</v>
      </c>
    </row>
    <row r="47" spans="2:9" x14ac:dyDescent="0.35">
      <c r="B47" s="8">
        <v>1042</v>
      </c>
      <c r="C47" s="9" t="s">
        <v>117</v>
      </c>
      <c r="D47" s="9" t="s">
        <v>46</v>
      </c>
      <c r="E47" s="9" t="s">
        <v>54</v>
      </c>
      <c r="F47" s="8">
        <v>30</v>
      </c>
      <c r="G47" s="8">
        <v>5</v>
      </c>
      <c r="H47" s="8" t="s">
        <v>118</v>
      </c>
      <c r="I47" s="19">
        <f t="shared" si="0"/>
        <v>150</v>
      </c>
    </row>
    <row r="48" spans="2:9" x14ac:dyDescent="0.35">
      <c r="B48" s="8">
        <v>1043</v>
      </c>
      <c r="C48" s="9" t="s">
        <v>119</v>
      </c>
      <c r="D48" s="9" t="s">
        <v>49</v>
      </c>
      <c r="E48" s="9" t="s">
        <v>57</v>
      </c>
      <c r="F48" s="8">
        <v>26</v>
      </c>
      <c r="G48" s="8">
        <v>8</v>
      </c>
      <c r="H48" s="10">
        <v>45294</v>
      </c>
      <c r="I48" s="19">
        <f t="shared" si="0"/>
        <v>208</v>
      </c>
    </row>
    <row r="49" spans="2:9" x14ac:dyDescent="0.35">
      <c r="B49" s="8">
        <v>1044</v>
      </c>
      <c r="C49" s="9" t="s">
        <v>120</v>
      </c>
      <c r="D49" s="9" t="s">
        <v>52</v>
      </c>
      <c r="E49" s="9" t="s">
        <v>44</v>
      </c>
      <c r="F49" s="8">
        <v>14</v>
      </c>
      <c r="G49" s="8">
        <v>50</v>
      </c>
      <c r="H49" s="10">
        <v>45325</v>
      </c>
      <c r="I49" s="19">
        <f t="shared" si="0"/>
        <v>700</v>
      </c>
    </row>
    <row r="50" spans="2:9" x14ac:dyDescent="0.35">
      <c r="B50" s="8">
        <v>1045</v>
      </c>
      <c r="C50" s="9" t="s">
        <v>121</v>
      </c>
      <c r="D50" s="9" t="s">
        <v>43</v>
      </c>
      <c r="E50" s="9" t="s">
        <v>47</v>
      </c>
      <c r="F50" s="8">
        <v>20</v>
      </c>
      <c r="G50" s="8">
        <v>10</v>
      </c>
      <c r="H50" s="10">
        <v>45354</v>
      </c>
      <c r="I50" s="19">
        <f t="shared" si="0"/>
        <v>200</v>
      </c>
    </row>
    <row r="51" spans="2:9" x14ac:dyDescent="0.35">
      <c r="B51" s="8">
        <v>1046</v>
      </c>
      <c r="C51" s="9" t="s">
        <v>122</v>
      </c>
      <c r="D51" s="9" t="s">
        <v>46</v>
      </c>
      <c r="E51" s="9" t="s">
        <v>50</v>
      </c>
      <c r="F51" s="8">
        <v>17</v>
      </c>
      <c r="G51" s="8">
        <v>25</v>
      </c>
      <c r="H51" s="10">
        <v>45385</v>
      </c>
      <c r="I51" s="19">
        <f t="shared" si="0"/>
        <v>425</v>
      </c>
    </row>
    <row r="52" spans="2:9" x14ac:dyDescent="0.35">
      <c r="B52" s="8">
        <v>1047</v>
      </c>
      <c r="C52" s="9" t="s">
        <v>123</v>
      </c>
      <c r="D52" s="9" t="s">
        <v>49</v>
      </c>
      <c r="E52" s="9" t="s">
        <v>54</v>
      </c>
      <c r="F52" s="8">
        <v>19</v>
      </c>
      <c r="G52" s="8">
        <v>5</v>
      </c>
      <c r="H52" s="10">
        <v>45415</v>
      </c>
      <c r="I52" s="19">
        <f t="shared" si="0"/>
        <v>95</v>
      </c>
    </row>
    <row r="53" spans="2:9" x14ac:dyDescent="0.35">
      <c r="B53" s="8">
        <v>1048</v>
      </c>
      <c r="C53" s="9" t="s">
        <v>124</v>
      </c>
      <c r="D53" s="9" t="s">
        <v>52</v>
      </c>
      <c r="E53" s="9" t="s">
        <v>57</v>
      </c>
      <c r="F53" s="8">
        <v>32</v>
      </c>
      <c r="G53" s="8">
        <v>8</v>
      </c>
      <c r="H53" s="10">
        <v>45446</v>
      </c>
      <c r="I53" s="19">
        <f t="shared" si="0"/>
        <v>256</v>
      </c>
    </row>
    <row r="54" spans="2:9" x14ac:dyDescent="0.35">
      <c r="B54" s="8">
        <v>1049</v>
      </c>
      <c r="C54" s="9" t="s">
        <v>125</v>
      </c>
      <c r="D54" s="9" t="s">
        <v>43</v>
      </c>
      <c r="E54" s="9" t="s">
        <v>44</v>
      </c>
      <c r="F54" s="8">
        <v>12</v>
      </c>
      <c r="G54" s="8">
        <v>50</v>
      </c>
      <c r="H54" s="10">
        <v>45476</v>
      </c>
      <c r="I54" s="19">
        <f t="shared" si="0"/>
        <v>600</v>
      </c>
    </row>
    <row r="55" spans="2:9" x14ac:dyDescent="0.35">
      <c r="B55" s="8">
        <v>1050</v>
      </c>
      <c r="C55" s="9" t="s">
        <v>126</v>
      </c>
      <c r="D55" s="9" t="s">
        <v>46</v>
      </c>
      <c r="E55" s="9" t="s">
        <v>47</v>
      </c>
      <c r="F55" s="8">
        <v>25</v>
      </c>
      <c r="G55" s="8">
        <v>10</v>
      </c>
      <c r="H55" s="10">
        <v>45507</v>
      </c>
      <c r="I55" s="19">
        <f t="shared" si="0"/>
        <v>250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E9D6-21BA-421E-9864-E1884CB362D7}">
  <dimension ref="A2:I55"/>
  <sheetViews>
    <sheetView tabSelected="1" workbookViewId="0">
      <selection activeCell="J3" sqref="J3"/>
    </sheetView>
  </sheetViews>
  <sheetFormatPr defaultRowHeight="14.5" x14ac:dyDescent="0.35"/>
  <cols>
    <col min="3" max="3" width="14" bestFit="1" customWidth="1"/>
    <col min="8" max="8" width="10.08984375" bestFit="1" customWidth="1"/>
  </cols>
  <sheetData>
    <row r="2" spans="1:9" x14ac:dyDescent="0.35">
      <c r="A2" s="20" t="s">
        <v>146</v>
      </c>
      <c r="B2" t="s">
        <v>147</v>
      </c>
    </row>
    <row r="5" spans="1:9" x14ac:dyDescent="0.35">
      <c r="B5" s="17" t="s">
        <v>35</v>
      </c>
      <c r="C5" s="17" t="s">
        <v>36</v>
      </c>
      <c r="D5" s="17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8" t="s">
        <v>141</v>
      </c>
    </row>
    <row r="6" spans="1:9" x14ac:dyDescent="0.35">
      <c r="B6" s="8">
        <v>1001</v>
      </c>
      <c r="C6" s="9" t="s">
        <v>42</v>
      </c>
      <c r="D6" s="9" t="s">
        <v>43</v>
      </c>
      <c r="E6" s="9" t="s">
        <v>44</v>
      </c>
      <c r="F6" s="8">
        <v>10</v>
      </c>
      <c r="G6" s="8">
        <v>50</v>
      </c>
      <c r="H6" s="10">
        <v>45413</v>
      </c>
      <c r="I6" s="19">
        <f>PRODUCT(F6,G6)</f>
        <v>500</v>
      </c>
    </row>
    <row r="7" spans="1:9" x14ac:dyDescent="0.35">
      <c r="B7" s="8">
        <v>1002</v>
      </c>
      <c r="C7" s="9" t="s">
        <v>45</v>
      </c>
      <c r="D7" s="9" t="s">
        <v>46</v>
      </c>
      <c r="E7" s="9" t="s">
        <v>47</v>
      </c>
      <c r="F7" s="8">
        <v>20</v>
      </c>
      <c r="G7" s="8">
        <v>10</v>
      </c>
      <c r="H7" s="10">
        <v>45444</v>
      </c>
      <c r="I7" s="19">
        <f t="shared" ref="I7:I55" si="0">PRODUCT(F7,G7)</f>
        <v>200</v>
      </c>
    </row>
    <row r="8" spans="1:9" x14ac:dyDescent="0.35">
      <c r="B8" s="8">
        <v>1003</v>
      </c>
      <c r="C8" s="9" t="s">
        <v>48</v>
      </c>
      <c r="D8" s="9" t="s">
        <v>49</v>
      </c>
      <c r="E8" s="9" t="s">
        <v>50</v>
      </c>
      <c r="F8" s="8">
        <v>15</v>
      </c>
      <c r="G8" s="8">
        <v>25</v>
      </c>
      <c r="H8" s="10">
        <v>45474</v>
      </c>
      <c r="I8" s="19">
        <f t="shared" si="0"/>
        <v>375</v>
      </c>
    </row>
    <row r="9" spans="1:9" x14ac:dyDescent="0.35">
      <c r="B9" s="8">
        <v>1004</v>
      </c>
      <c r="C9" s="9" t="s">
        <v>51</v>
      </c>
      <c r="D9" s="9" t="s">
        <v>52</v>
      </c>
      <c r="E9" s="9" t="s">
        <v>44</v>
      </c>
      <c r="F9" s="8">
        <v>5</v>
      </c>
      <c r="G9" s="8">
        <v>50</v>
      </c>
      <c r="H9" s="10">
        <v>45505</v>
      </c>
      <c r="I9" s="19">
        <f t="shared" si="0"/>
        <v>250</v>
      </c>
    </row>
    <row r="10" spans="1:9" x14ac:dyDescent="0.35">
      <c r="B10" s="8">
        <v>1005</v>
      </c>
      <c r="C10" s="9" t="s">
        <v>53</v>
      </c>
      <c r="D10" s="9" t="s">
        <v>43</v>
      </c>
      <c r="E10" s="9" t="s">
        <v>54</v>
      </c>
      <c r="F10" s="8">
        <v>30</v>
      </c>
      <c r="G10" s="8">
        <v>5</v>
      </c>
      <c r="H10" s="10">
        <v>45566</v>
      </c>
      <c r="I10" s="19">
        <f t="shared" si="0"/>
        <v>150</v>
      </c>
    </row>
    <row r="11" spans="1:9" x14ac:dyDescent="0.35">
      <c r="B11" s="8">
        <v>1006</v>
      </c>
      <c r="C11" s="9" t="s">
        <v>55</v>
      </c>
      <c r="D11" s="9" t="s">
        <v>46</v>
      </c>
      <c r="E11" s="9" t="s">
        <v>44</v>
      </c>
      <c r="F11" s="8">
        <v>12</v>
      </c>
      <c r="G11" s="8">
        <v>50</v>
      </c>
      <c r="H11" s="10">
        <v>45597</v>
      </c>
      <c r="I11" s="19">
        <f t="shared" si="0"/>
        <v>600</v>
      </c>
    </row>
    <row r="12" spans="1:9" x14ac:dyDescent="0.35">
      <c r="B12" s="8">
        <v>1007</v>
      </c>
      <c r="C12" s="9" t="s">
        <v>56</v>
      </c>
      <c r="D12" s="9" t="s">
        <v>49</v>
      </c>
      <c r="E12" s="9" t="s">
        <v>57</v>
      </c>
      <c r="F12" s="8">
        <v>25</v>
      </c>
      <c r="G12" s="8">
        <v>8</v>
      </c>
      <c r="H12" s="8" t="s">
        <v>58</v>
      </c>
      <c r="I12" s="19">
        <f t="shared" si="0"/>
        <v>200</v>
      </c>
    </row>
    <row r="13" spans="1:9" x14ac:dyDescent="0.35">
      <c r="B13" s="8">
        <v>1008</v>
      </c>
      <c r="C13" s="9" t="s">
        <v>59</v>
      </c>
      <c r="D13" s="9" t="s">
        <v>52</v>
      </c>
      <c r="E13" s="9" t="s">
        <v>47</v>
      </c>
      <c r="F13" s="8">
        <v>18</v>
      </c>
      <c r="G13" s="8">
        <v>10</v>
      </c>
      <c r="H13" s="8" t="s">
        <v>60</v>
      </c>
      <c r="I13" s="19">
        <f t="shared" si="0"/>
        <v>180</v>
      </c>
    </row>
    <row r="14" spans="1:9" x14ac:dyDescent="0.35">
      <c r="B14" s="8">
        <v>1009</v>
      </c>
      <c r="C14" s="9" t="s">
        <v>61</v>
      </c>
      <c r="D14" s="9" t="s">
        <v>43</v>
      </c>
      <c r="E14" s="9" t="s">
        <v>50</v>
      </c>
      <c r="F14" s="8">
        <v>22</v>
      </c>
      <c r="G14" s="8">
        <v>25</v>
      </c>
      <c r="H14" s="8" t="s">
        <v>62</v>
      </c>
      <c r="I14" s="19">
        <f t="shared" si="0"/>
        <v>550</v>
      </c>
    </row>
    <row r="15" spans="1:9" x14ac:dyDescent="0.35">
      <c r="B15" s="8">
        <v>1010</v>
      </c>
      <c r="C15" s="9" t="s">
        <v>63</v>
      </c>
      <c r="D15" s="9" t="s">
        <v>46</v>
      </c>
      <c r="E15" s="9" t="s">
        <v>44</v>
      </c>
      <c r="F15" s="8">
        <v>8</v>
      </c>
      <c r="G15" s="8">
        <v>50</v>
      </c>
      <c r="H15" s="8" t="s">
        <v>64</v>
      </c>
      <c r="I15" s="19">
        <f t="shared" si="0"/>
        <v>400</v>
      </c>
    </row>
    <row r="16" spans="1:9" x14ac:dyDescent="0.35">
      <c r="B16" s="8">
        <v>1011</v>
      </c>
      <c r="C16" s="9" t="s">
        <v>65</v>
      </c>
      <c r="D16" s="9" t="s">
        <v>49</v>
      </c>
      <c r="E16" s="9" t="s">
        <v>54</v>
      </c>
      <c r="F16" s="8">
        <v>40</v>
      </c>
      <c r="G16" s="8">
        <v>5</v>
      </c>
      <c r="H16" s="8" t="s">
        <v>66</v>
      </c>
      <c r="I16" s="19">
        <f t="shared" si="0"/>
        <v>200</v>
      </c>
    </row>
    <row r="17" spans="2:9" x14ac:dyDescent="0.35">
      <c r="B17" s="8">
        <v>1012</v>
      </c>
      <c r="C17" s="9" t="s">
        <v>67</v>
      </c>
      <c r="D17" s="9" t="s">
        <v>52</v>
      </c>
      <c r="E17" s="9" t="s">
        <v>57</v>
      </c>
      <c r="F17" s="8">
        <v>35</v>
      </c>
      <c r="G17" s="8">
        <v>8</v>
      </c>
      <c r="H17" s="8" t="s">
        <v>68</v>
      </c>
      <c r="I17" s="19">
        <f t="shared" si="0"/>
        <v>280</v>
      </c>
    </row>
    <row r="18" spans="2:9" x14ac:dyDescent="0.35">
      <c r="B18" s="8">
        <v>1013</v>
      </c>
      <c r="C18" s="9" t="s">
        <v>69</v>
      </c>
      <c r="D18" s="9" t="s">
        <v>43</v>
      </c>
      <c r="E18" s="9" t="s">
        <v>44</v>
      </c>
      <c r="F18" s="8">
        <v>14</v>
      </c>
      <c r="G18" s="8">
        <v>50</v>
      </c>
      <c r="H18" s="8" t="s">
        <v>70</v>
      </c>
      <c r="I18" s="19">
        <f t="shared" si="0"/>
        <v>700</v>
      </c>
    </row>
    <row r="19" spans="2:9" x14ac:dyDescent="0.35">
      <c r="B19" s="8">
        <v>1014</v>
      </c>
      <c r="C19" s="9" t="s">
        <v>71</v>
      </c>
      <c r="D19" s="9" t="s">
        <v>46</v>
      </c>
      <c r="E19" s="9" t="s">
        <v>47</v>
      </c>
      <c r="F19" s="8">
        <v>28</v>
      </c>
      <c r="G19" s="8">
        <v>10</v>
      </c>
      <c r="H19" s="8" t="s">
        <v>72</v>
      </c>
      <c r="I19" s="19">
        <f t="shared" si="0"/>
        <v>280</v>
      </c>
    </row>
    <row r="20" spans="2:9" x14ac:dyDescent="0.35">
      <c r="B20" s="8">
        <v>1015</v>
      </c>
      <c r="C20" s="9" t="s">
        <v>73</v>
      </c>
      <c r="D20" s="9" t="s">
        <v>49</v>
      </c>
      <c r="E20" s="9" t="s">
        <v>50</v>
      </c>
      <c r="F20" s="8">
        <v>12</v>
      </c>
      <c r="G20" s="8">
        <v>25</v>
      </c>
      <c r="H20" s="8" t="s">
        <v>74</v>
      </c>
      <c r="I20" s="19">
        <f t="shared" si="0"/>
        <v>300</v>
      </c>
    </row>
    <row r="21" spans="2:9" x14ac:dyDescent="0.35">
      <c r="B21" s="8">
        <v>1016</v>
      </c>
      <c r="C21" s="9" t="s">
        <v>75</v>
      </c>
      <c r="D21" s="9" t="s">
        <v>52</v>
      </c>
      <c r="E21" s="9" t="s">
        <v>54</v>
      </c>
      <c r="F21" s="8">
        <v>25</v>
      </c>
      <c r="G21" s="8">
        <v>5</v>
      </c>
      <c r="H21" s="8" t="s">
        <v>76</v>
      </c>
      <c r="I21" s="19">
        <f t="shared" si="0"/>
        <v>125</v>
      </c>
    </row>
    <row r="22" spans="2:9" x14ac:dyDescent="0.35">
      <c r="B22" s="8">
        <v>1017</v>
      </c>
      <c r="C22" s="9" t="s">
        <v>77</v>
      </c>
      <c r="D22" s="9" t="s">
        <v>43</v>
      </c>
      <c r="E22" s="9" t="s">
        <v>57</v>
      </c>
      <c r="F22" s="8">
        <v>20</v>
      </c>
      <c r="G22" s="8">
        <v>8</v>
      </c>
      <c r="H22" s="8" t="s">
        <v>78</v>
      </c>
      <c r="I22" s="19">
        <f t="shared" si="0"/>
        <v>160</v>
      </c>
    </row>
    <row r="23" spans="2:9" x14ac:dyDescent="0.35">
      <c r="B23" s="8">
        <v>1018</v>
      </c>
      <c r="C23" s="9" t="s">
        <v>79</v>
      </c>
      <c r="D23" s="9" t="s">
        <v>46</v>
      </c>
      <c r="E23" s="9" t="s">
        <v>44</v>
      </c>
      <c r="F23" s="8">
        <v>10</v>
      </c>
      <c r="G23" s="8">
        <v>50</v>
      </c>
      <c r="H23" s="8" t="s">
        <v>80</v>
      </c>
      <c r="I23" s="19">
        <f t="shared" si="0"/>
        <v>500</v>
      </c>
    </row>
    <row r="24" spans="2:9" x14ac:dyDescent="0.35">
      <c r="B24" s="8">
        <v>1019</v>
      </c>
      <c r="C24" s="9" t="s">
        <v>81</v>
      </c>
      <c r="D24" s="9" t="s">
        <v>49</v>
      </c>
      <c r="E24" s="9" t="s">
        <v>47</v>
      </c>
      <c r="F24" s="8">
        <v>15</v>
      </c>
      <c r="G24" s="8">
        <v>10</v>
      </c>
      <c r="H24" s="8" t="s">
        <v>82</v>
      </c>
      <c r="I24" s="19">
        <f t="shared" si="0"/>
        <v>150</v>
      </c>
    </row>
    <row r="25" spans="2:9" x14ac:dyDescent="0.35">
      <c r="B25" s="8">
        <v>1020</v>
      </c>
      <c r="C25" s="9" t="s">
        <v>83</v>
      </c>
      <c r="D25" s="9" t="s">
        <v>52</v>
      </c>
      <c r="E25" s="9" t="s">
        <v>50</v>
      </c>
      <c r="F25" s="8">
        <v>18</v>
      </c>
      <c r="G25" s="8">
        <v>25</v>
      </c>
      <c r="H25" s="10">
        <v>45293</v>
      </c>
      <c r="I25" s="19">
        <f t="shared" si="0"/>
        <v>450</v>
      </c>
    </row>
    <row r="26" spans="2:9" x14ac:dyDescent="0.35">
      <c r="B26" s="8">
        <v>1021</v>
      </c>
      <c r="C26" s="9" t="s">
        <v>84</v>
      </c>
      <c r="D26" s="9" t="s">
        <v>43</v>
      </c>
      <c r="E26" s="9" t="s">
        <v>44</v>
      </c>
      <c r="F26" s="8">
        <v>9</v>
      </c>
      <c r="G26" s="8">
        <v>50</v>
      </c>
      <c r="H26" s="10">
        <v>45324</v>
      </c>
      <c r="I26" s="19">
        <f t="shared" si="0"/>
        <v>450</v>
      </c>
    </row>
    <row r="27" spans="2:9" x14ac:dyDescent="0.35">
      <c r="B27" s="8">
        <v>1022</v>
      </c>
      <c r="C27" s="9" t="s">
        <v>85</v>
      </c>
      <c r="D27" s="9" t="s">
        <v>46</v>
      </c>
      <c r="E27" s="9" t="s">
        <v>54</v>
      </c>
      <c r="F27" s="8">
        <v>35</v>
      </c>
      <c r="G27" s="8">
        <v>5</v>
      </c>
      <c r="H27" s="10">
        <v>45353</v>
      </c>
      <c r="I27" s="19">
        <f t="shared" si="0"/>
        <v>175</v>
      </c>
    </row>
    <row r="28" spans="2:9" x14ac:dyDescent="0.35">
      <c r="B28" s="8">
        <v>1023</v>
      </c>
      <c r="C28" s="9" t="s">
        <v>86</v>
      </c>
      <c r="D28" s="9" t="s">
        <v>49</v>
      </c>
      <c r="E28" s="9" t="s">
        <v>57</v>
      </c>
      <c r="F28" s="8">
        <v>30</v>
      </c>
      <c r="G28" s="8">
        <v>8</v>
      </c>
      <c r="H28" s="10">
        <v>45384</v>
      </c>
      <c r="I28" s="19">
        <f t="shared" si="0"/>
        <v>240</v>
      </c>
    </row>
    <row r="29" spans="2:9" x14ac:dyDescent="0.35">
      <c r="B29" s="8">
        <v>1024</v>
      </c>
      <c r="C29" s="9" t="s">
        <v>87</v>
      </c>
      <c r="D29" s="9" t="s">
        <v>52</v>
      </c>
      <c r="E29" s="9" t="s">
        <v>44</v>
      </c>
      <c r="F29" s="8">
        <v>11</v>
      </c>
      <c r="G29" s="8">
        <v>50</v>
      </c>
      <c r="H29" s="10">
        <v>45445</v>
      </c>
      <c r="I29" s="19">
        <f t="shared" si="0"/>
        <v>550</v>
      </c>
    </row>
    <row r="30" spans="2:9" x14ac:dyDescent="0.35">
      <c r="B30" s="8">
        <v>1025</v>
      </c>
      <c r="C30" s="9" t="s">
        <v>88</v>
      </c>
      <c r="D30" s="9" t="s">
        <v>43</v>
      </c>
      <c r="E30" s="9" t="s">
        <v>47</v>
      </c>
      <c r="F30" s="8">
        <v>14</v>
      </c>
      <c r="G30" s="8">
        <v>10</v>
      </c>
      <c r="H30" s="10">
        <v>45475</v>
      </c>
      <c r="I30" s="19">
        <f t="shared" si="0"/>
        <v>140</v>
      </c>
    </row>
    <row r="31" spans="2:9" x14ac:dyDescent="0.35">
      <c r="B31" s="8">
        <v>1026</v>
      </c>
      <c r="C31" s="9" t="s">
        <v>89</v>
      </c>
      <c r="D31" s="9" t="s">
        <v>46</v>
      </c>
      <c r="E31" s="9" t="s">
        <v>50</v>
      </c>
      <c r="F31" s="8">
        <v>16</v>
      </c>
      <c r="G31" s="8">
        <v>25</v>
      </c>
      <c r="H31" s="10">
        <v>45506</v>
      </c>
      <c r="I31" s="19">
        <f t="shared" si="0"/>
        <v>400</v>
      </c>
    </row>
    <row r="32" spans="2:9" x14ac:dyDescent="0.35">
      <c r="B32" s="8">
        <v>1027</v>
      </c>
      <c r="C32" s="9" t="s">
        <v>90</v>
      </c>
      <c r="D32" s="9" t="s">
        <v>49</v>
      </c>
      <c r="E32" s="9" t="s">
        <v>54</v>
      </c>
      <c r="F32" s="8">
        <v>22</v>
      </c>
      <c r="G32" s="8">
        <v>5</v>
      </c>
      <c r="H32" s="10">
        <v>45537</v>
      </c>
      <c r="I32" s="19">
        <f t="shared" si="0"/>
        <v>110</v>
      </c>
    </row>
    <row r="33" spans="2:9" x14ac:dyDescent="0.35">
      <c r="B33" s="8">
        <v>1028</v>
      </c>
      <c r="C33" s="9" t="s">
        <v>91</v>
      </c>
      <c r="D33" s="9" t="s">
        <v>52</v>
      </c>
      <c r="E33" s="9" t="s">
        <v>57</v>
      </c>
      <c r="F33" s="8">
        <v>27</v>
      </c>
      <c r="G33" s="8">
        <v>8</v>
      </c>
      <c r="H33" s="10">
        <v>45567</v>
      </c>
      <c r="I33" s="19">
        <f t="shared" si="0"/>
        <v>216</v>
      </c>
    </row>
    <row r="34" spans="2:9" x14ac:dyDescent="0.35">
      <c r="B34" s="8">
        <v>1029</v>
      </c>
      <c r="C34" s="9" t="s">
        <v>92</v>
      </c>
      <c r="D34" s="9" t="s">
        <v>43</v>
      </c>
      <c r="E34" s="9" t="s">
        <v>44</v>
      </c>
      <c r="F34" s="8">
        <v>13</v>
      </c>
      <c r="G34" s="8">
        <v>50</v>
      </c>
      <c r="H34" s="10">
        <v>45628</v>
      </c>
      <c r="I34" s="19">
        <f t="shared" si="0"/>
        <v>650</v>
      </c>
    </row>
    <row r="35" spans="2:9" x14ac:dyDescent="0.35">
      <c r="B35" s="8">
        <v>1030</v>
      </c>
      <c r="C35" s="9" t="s">
        <v>93</v>
      </c>
      <c r="D35" s="9" t="s">
        <v>46</v>
      </c>
      <c r="E35" s="9" t="s">
        <v>47</v>
      </c>
      <c r="F35" s="8">
        <v>32</v>
      </c>
      <c r="G35" s="8">
        <v>10</v>
      </c>
      <c r="H35" s="8" t="s">
        <v>94</v>
      </c>
      <c r="I35" s="19">
        <f t="shared" si="0"/>
        <v>320</v>
      </c>
    </row>
    <row r="36" spans="2:9" x14ac:dyDescent="0.35">
      <c r="B36" s="8">
        <v>1031</v>
      </c>
      <c r="C36" s="9" t="s">
        <v>95</v>
      </c>
      <c r="D36" s="9" t="s">
        <v>49</v>
      </c>
      <c r="E36" s="9" t="s">
        <v>50</v>
      </c>
      <c r="F36" s="8">
        <v>10</v>
      </c>
      <c r="G36" s="8">
        <v>25</v>
      </c>
      <c r="H36" s="8" t="s">
        <v>96</v>
      </c>
      <c r="I36" s="19">
        <f t="shared" si="0"/>
        <v>250</v>
      </c>
    </row>
    <row r="37" spans="2:9" x14ac:dyDescent="0.35">
      <c r="B37" s="8">
        <v>1032</v>
      </c>
      <c r="C37" s="9" t="s">
        <v>97</v>
      </c>
      <c r="D37" s="9" t="s">
        <v>52</v>
      </c>
      <c r="E37" s="9" t="s">
        <v>54</v>
      </c>
      <c r="F37" s="8">
        <v>18</v>
      </c>
      <c r="G37" s="8">
        <v>5</v>
      </c>
      <c r="H37" s="8" t="s">
        <v>98</v>
      </c>
      <c r="I37" s="19">
        <f t="shared" si="0"/>
        <v>90</v>
      </c>
    </row>
    <row r="38" spans="2:9" x14ac:dyDescent="0.35">
      <c r="B38" s="8">
        <v>1033</v>
      </c>
      <c r="C38" s="9" t="s">
        <v>99</v>
      </c>
      <c r="D38" s="9" t="s">
        <v>43</v>
      </c>
      <c r="E38" s="9" t="s">
        <v>57</v>
      </c>
      <c r="F38" s="8">
        <v>22</v>
      </c>
      <c r="G38" s="8">
        <v>8</v>
      </c>
      <c r="H38" s="8" t="s">
        <v>100</v>
      </c>
      <c r="I38" s="19">
        <f t="shared" si="0"/>
        <v>176</v>
      </c>
    </row>
    <row r="39" spans="2:9" x14ac:dyDescent="0.35">
      <c r="B39" s="8">
        <v>1034</v>
      </c>
      <c r="C39" s="9" t="s">
        <v>101</v>
      </c>
      <c r="D39" s="9" t="s">
        <v>46</v>
      </c>
      <c r="E39" s="9" t="s">
        <v>44</v>
      </c>
      <c r="F39" s="8">
        <v>17</v>
      </c>
      <c r="G39" s="8">
        <v>50</v>
      </c>
      <c r="H39" s="8" t="s">
        <v>102</v>
      </c>
      <c r="I39" s="19">
        <f t="shared" si="0"/>
        <v>850</v>
      </c>
    </row>
    <row r="40" spans="2:9" x14ac:dyDescent="0.35">
      <c r="B40" s="8">
        <v>1035</v>
      </c>
      <c r="C40" s="9" t="s">
        <v>103</v>
      </c>
      <c r="D40" s="9" t="s">
        <v>49</v>
      </c>
      <c r="E40" s="9" t="s">
        <v>47</v>
      </c>
      <c r="F40" s="8">
        <v>19</v>
      </c>
      <c r="G40" s="8">
        <v>10</v>
      </c>
      <c r="H40" s="8" t="s">
        <v>104</v>
      </c>
      <c r="I40" s="19">
        <f t="shared" si="0"/>
        <v>190</v>
      </c>
    </row>
    <row r="41" spans="2:9" x14ac:dyDescent="0.35">
      <c r="B41" s="8">
        <v>1036</v>
      </c>
      <c r="C41" s="9" t="s">
        <v>105</v>
      </c>
      <c r="D41" s="9" t="s">
        <v>52</v>
      </c>
      <c r="E41" s="9" t="s">
        <v>50</v>
      </c>
      <c r="F41" s="8">
        <v>15</v>
      </c>
      <c r="G41" s="8">
        <v>25</v>
      </c>
      <c r="H41" s="8" t="s">
        <v>106</v>
      </c>
      <c r="I41" s="19">
        <f t="shared" si="0"/>
        <v>375</v>
      </c>
    </row>
    <row r="42" spans="2:9" x14ac:dyDescent="0.35">
      <c r="B42" s="8">
        <v>1037</v>
      </c>
      <c r="C42" s="9" t="s">
        <v>107</v>
      </c>
      <c r="D42" s="9" t="s">
        <v>43</v>
      </c>
      <c r="E42" s="9" t="s">
        <v>54</v>
      </c>
      <c r="F42" s="8">
        <v>28</v>
      </c>
      <c r="G42" s="8">
        <v>5</v>
      </c>
      <c r="H42" s="8" t="s">
        <v>108</v>
      </c>
      <c r="I42" s="19">
        <f t="shared" si="0"/>
        <v>140</v>
      </c>
    </row>
    <row r="43" spans="2:9" x14ac:dyDescent="0.35">
      <c r="B43" s="8">
        <v>1038</v>
      </c>
      <c r="C43" s="9" t="s">
        <v>109</v>
      </c>
      <c r="D43" s="9" t="s">
        <v>46</v>
      </c>
      <c r="E43" s="9" t="s">
        <v>57</v>
      </c>
      <c r="F43" s="8">
        <v>24</v>
      </c>
      <c r="G43" s="8">
        <v>8</v>
      </c>
      <c r="H43" s="8" t="s">
        <v>110</v>
      </c>
      <c r="I43" s="19">
        <f t="shared" si="0"/>
        <v>192</v>
      </c>
    </row>
    <row r="44" spans="2:9" x14ac:dyDescent="0.35">
      <c r="B44" s="8">
        <v>1039</v>
      </c>
      <c r="C44" s="9" t="s">
        <v>111</v>
      </c>
      <c r="D44" s="9" t="s">
        <v>49</v>
      </c>
      <c r="E44" s="9" t="s">
        <v>44</v>
      </c>
      <c r="F44" s="8">
        <v>16</v>
      </c>
      <c r="G44" s="8">
        <v>50</v>
      </c>
      <c r="H44" s="8" t="s">
        <v>112</v>
      </c>
      <c r="I44" s="19">
        <f t="shared" si="0"/>
        <v>800</v>
      </c>
    </row>
    <row r="45" spans="2:9" x14ac:dyDescent="0.35">
      <c r="B45" s="8">
        <v>1040</v>
      </c>
      <c r="C45" s="9" t="s">
        <v>113</v>
      </c>
      <c r="D45" s="9" t="s">
        <v>52</v>
      </c>
      <c r="E45" s="9" t="s">
        <v>47</v>
      </c>
      <c r="F45" s="8">
        <v>27</v>
      </c>
      <c r="G45" s="8">
        <v>10</v>
      </c>
      <c r="H45" s="8" t="s">
        <v>114</v>
      </c>
      <c r="I45" s="19">
        <f t="shared" si="0"/>
        <v>270</v>
      </c>
    </row>
    <row r="46" spans="2:9" x14ac:dyDescent="0.35">
      <c r="B46" s="8">
        <v>1041</v>
      </c>
      <c r="C46" s="9" t="s">
        <v>115</v>
      </c>
      <c r="D46" s="9" t="s">
        <v>43</v>
      </c>
      <c r="E46" s="9" t="s">
        <v>50</v>
      </c>
      <c r="F46" s="8">
        <v>21</v>
      </c>
      <c r="G46" s="8">
        <v>25</v>
      </c>
      <c r="H46" s="8" t="s">
        <v>116</v>
      </c>
      <c r="I46" s="19">
        <f t="shared" si="0"/>
        <v>525</v>
      </c>
    </row>
    <row r="47" spans="2:9" x14ac:dyDescent="0.35">
      <c r="B47" s="8">
        <v>1042</v>
      </c>
      <c r="C47" s="9" t="s">
        <v>117</v>
      </c>
      <c r="D47" s="9" t="s">
        <v>46</v>
      </c>
      <c r="E47" s="9" t="s">
        <v>54</v>
      </c>
      <c r="F47" s="8">
        <v>30</v>
      </c>
      <c r="G47" s="8">
        <v>5</v>
      </c>
      <c r="H47" s="8" t="s">
        <v>118</v>
      </c>
      <c r="I47" s="19">
        <f t="shared" si="0"/>
        <v>150</v>
      </c>
    </row>
    <row r="48" spans="2:9" x14ac:dyDescent="0.35">
      <c r="B48" s="8">
        <v>1043</v>
      </c>
      <c r="C48" s="9" t="s">
        <v>119</v>
      </c>
      <c r="D48" s="9" t="s">
        <v>49</v>
      </c>
      <c r="E48" s="9" t="s">
        <v>57</v>
      </c>
      <c r="F48" s="8">
        <v>26</v>
      </c>
      <c r="G48" s="8">
        <v>8</v>
      </c>
      <c r="H48" s="10">
        <v>45294</v>
      </c>
      <c r="I48" s="19">
        <f t="shared" si="0"/>
        <v>208</v>
      </c>
    </row>
    <row r="49" spans="2:9" x14ac:dyDescent="0.35">
      <c r="B49" s="8">
        <v>1044</v>
      </c>
      <c r="C49" s="9" t="s">
        <v>120</v>
      </c>
      <c r="D49" s="9" t="s">
        <v>52</v>
      </c>
      <c r="E49" s="9" t="s">
        <v>44</v>
      </c>
      <c r="F49" s="8">
        <v>14</v>
      </c>
      <c r="G49" s="8">
        <v>50</v>
      </c>
      <c r="H49" s="10">
        <v>45325</v>
      </c>
      <c r="I49" s="19">
        <f t="shared" si="0"/>
        <v>700</v>
      </c>
    </row>
    <row r="50" spans="2:9" x14ac:dyDescent="0.35">
      <c r="B50" s="8">
        <v>1045</v>
      </c>
      <c r="C50" s="9" t="s">
        <v>121</v>
      </c>
      <c r="D50" s="9" t="s">
        <v>43</v>
      </c>
      <c r="E50" s="9" t="s">
        <v>47</v>
      </c>
      <c r="F50" s="8">
        <v>20</v>
      </c>
      <c r="G50" s="8">
        <v>10</v>
      </c>
      <c r="H50" s="10">
        <v>45354</v>
      </c>
      <c r="I50" s="19">
        <f t="shared" si="0"/>
        <v>200</v>
      </c>
    </row>
    <row r="51" spans="2:9" x14ac:dyDescent="0.35">
      <c r="B51" s="8">
        <v>1046</v>
      </c>
      <c r="C51" s="9" t="s">
        <v>122</v>
      </c>
      <c r="D51" s="9" t="s">
        <v>46</v>
      </c>
      <c r="E51" s="9" t="s">
        <v>50</v>
      </c>
      <c r="F51" s="8">
        <v>17</v>
      </c>
      <c r="G51" s="8">
        <v>25</v>
      </c>
      <c r="H51" s="10">
        <v>45385</v>
      </c>
      <c r="I51" s="19">
        <f t="shared" si="0"/>
        <v>425</v>
      </c>
    </row>
    <row r="52" spans="2:9" x14ac:dyDescent="0.35">
      <c r="B52" s="8">
        <v>1047</v>
      </c>
      <c r="C52" s="9" t="s">
        <v>123</v>
      </c>
      <c r="D52" s="9" t="s">
        <v>49</v>
      </c>
      <c r="E52" s="9" t="s">
        <v>54</v>
      </c>
      <c r="F52" s="8">
        <v>19</v>
      </c>
      <c r="G52" s="8">
        <v>5</v>
      </c>
      <c r="H52" s="10">
        <v>45415</v>
      </c>
      <c r="I52" s="19">
        <f t="shared" si="0"/>
        <v>95</v>
      </c>
    </row>
    <row r="53" spans="2:9" x14ac:dyDescent="0.35">
      <c r="B53" s="8">
        <v>1048</v>
      </c>
      <c r="C53" s="9" t="s">
        <v>124</v>
      </c>
      <c r="D53" s="9" t="s">
        <v>52</v>
      </c>
      <c r="E53" s="9" t="s">
        <v>57</v>
      </c>
      <c r="F53" s="8">
        <v>32</v>
      </c>
      <c r="G53" s="8">
        <v>8</v>
      </c>
      <c r="H53" s="10">
        <v>45446</v>
      </c>
      <c r="I53" s="19">
        <f t="shared" si="0"/>
        <v>256</v>
      </c>
    </row>
    <row r="54" spans="2:9" x14ac:dyDescent="0.35">
      <c r="B54" s="8">
        <v>1049</v>
      </c>
      <c r="C54" s="9" t="s">
        <v>125</v>
      </c>
      <c r="D54" s="9" t="s">
        <v>43</v>
      </c>
      <c r="E54" s="9" t="s">
        <v>44</v>
      </c>
      <c r="F54" s="8">
        <v>12</v>
      </c>
      <c r="G54" s="8">
        <v>50</v>
      </c>
      <c r="H54" s="10">
        <v>45476</v>
      </c>
      <c r="I54" s="19">
        <f t="shared" si="0"/>
        <v>600</v>
      </c>
    </row>
    <row r="55" spans="2:9" x14ac:dyDescent="0.35">
      <c r="B55" s="8">
        <v>1050</v>
      </c>
      <c r="C55" s="9" t="s">
        <v>126</v>
      </c>
      <c r="D55" s="9" t="s">
        <v>46</v>
      </c>
      <c r="E55" s="9" t="s">
        <v>47</v>
      </c>
      <c r="F55" s="8">
        <v>25</v>
      </c>
      <c r="G55" s="8">
        <v>10</v>
      </c>
      <c r="H55" s="10">
        <v>45507</v>
      </c>
      <c r="I55" s="19">
        <f t="shared" si="0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</vt:lpstr>
      <vt:lpstr>Q2</vt:lpstr>
      <vt:lpstr>Q3</vt:lpstr>
      <vt:lpstr>Q4</vt:lpstr>
      <vt:lpstr>Q5</vt:lpstr>
      <vt:lpstr>Q6</vt:lpstr>
      <vt:lpstr>Q7</vt:lpstr>
      <vt:lpstr>Q8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</dc:creator>
  <cp:lastModifiedBy>Ritik</cp:lastModifiedBy>
  <dcterms:created xsi:type="dcterms:W3CDTF">2026-01-07T12:59:10Z</dcterms:created>
  <dcterms:modified xsi:type="dcterms:W3CDTF">2026-01-07T15:05:04Z</dcterms:modified>
</cp:coreProperties>
</file>