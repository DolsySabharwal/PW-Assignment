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LAPTOP\Desktop\Excel\"/>
    </mc:Choice>
  </mc:AlternateContent>
  <xr:revisionPtr revIDLastSave="0" documentId="13_ncr:1_{E24AC12D-8E2B-45BC-A393-5EB5C185C530}" xr6:coauthVersionLast="47" xr6:coauthVersionMax="47" xr10:uidLastSave="{00000000-0000-0000-0000-000000000000}"/>
  <bookViews>
    <workbookView xWindow="-108" yWindow="-108" windowWidth="23256" windowHeight="12456" activeTab="7" xr2:uid="{71A7FB33-B46F-4BBC-A28C-5908F5C3A3CC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8" l="1"/>
  <c r="D16" i="4"/>
  <c r="F17" i="2" l="1"/>
  <c r="F18" i="2"/>
  <c r="F19" i="2"/>
  <c r="F16" i="2"/>
  <c r="E13" i="7"/>
  <c r="G19" i="6"/>
  <c r="G20" i="6"/>
  <c r="G18" i="6"/>
  <c r="F16" i="5"/>
  <c r="E19" i="3"/>
  <c r="E20" i="3"/>
  <c r="E21" i="3"/>
  <c r="E22" i="3"/>
  <c r="E18" i="3"/>
  <c r="F19" i="1"/>
  <c r="F20" i="1"/>
  <c r="F21" i="1"/>
  <c r="F22" i="1"/>
  <c r="F18" i="1"/>
</calcChain>
</file>

<file path=xl/sharedStrings.xml><?xml version="1.0" encoding="utf-8"?>
<sst xmlns="http://schemas.openxmlformats.org/spreadsheetml/2006/main" count="134" uniqueCount="79">
  <si>
    <t>Logical Functions &amp; Lookup</t>
  </si>
  <si>
    <t>Q1</t>
  </si>
  <si>
    <t>Write a formula to check if the marks in cell B2 are greater than or equal to 40. If yes, return ,"Pass",  otherwise  "Fail"</t>
  </si>
  <si>
    <t>Student Name</t>
  </si>
  <si>
    <t>Marks</t>
  </si>
  <si>
    <t>Riya</t>
  </si>
  <si>
    <t>Siya</t>
  </si>
  <si>
    <t>Raju</t>
  </si>
  <si>
    <t>Rahul</t>
  </si>
  <si>
    <t>Ram</t>
  </si>
  <si>
    <t>Ans</t>
  </si>
  <si>
    <t>Result</t>
  </si>
  <si>
    <t>Formula      =IF(E18&gt;=40,"pass","fail")</t>
  </si>
  <si>
    <t>Q2</t>
  </si>
  <si>
    <t>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</si>
  <si>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</si>
  <si>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</si>
  <si>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</si>
  <si>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</si>
  <si>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</si>
  <si>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</si>
  <si>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</si>
  <si>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 eligibility</t>
  </si>
  <si>
    <t>Q3</t>
  </si>
  <si>
    <t xml:space="preserve">Write a nested IF formula: </t>
  </si>
  <si>
    <t>If marks in B2 are ≥ 90 → "A" , ≥ 75 → "B" , ≥ 50 → "C" , otherwise "Fail"</t>
  </si>
  <si>
    <t xml:space="preserve">Raj </t>
  </si>
  <si>
    <t>Neha</t>
  </si>
  <si>
    <t>Vivek</t>
  </si>
  <si>
    <t xml:space="preserve">Rani </t>
  </si>
  <si>
    <t>Sneha</t>
  </si>
  <si>
    <t>Q4</t>
  </si>
  <si>
    <r>
      <t xml:space="preserve">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= E103. Also explain which LOOKUP function is used and why?</t>
    </r>
  </si>
  <si>
    <t>EmpID</t>
  </si>
  <si>
    <t>Name</t>
  </si>
  <si>
    <t>Department</t>
  </si>
  <si>
    <t>E101</t>
  </si>
  <si>
    <t>IT</t>
  </si>
  <si>
    <t>E102</t>
  </si>
  <si>
    <t>HR</t>
  </si>
  <si>
    <t>E103</t>
  </si>
  <si>
    <t>Roshini</t>
  </si>
  <si>
    <t>Finance</t>
  </si>
  <si>
    <t>E104</t>
  </si>
  <si>
    <t>Sejal</t>
  </si>
  <si>
    <t>Q5</t>
  </si>
  <si>
    <t>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</si>
  <si>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</si>
  <si>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</si>
  <si>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</si>
  <si>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Q6</t>
  </si>
  <si>
    <t>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</si>
  <si>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</si>
  <si>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</si>
  <si>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</si>
  <si>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</si>
  <si>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</si>
  <si>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</si>
  <si>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*</t>
  </si>
  <si>
    <r>
      <t xml:space="preserve">Write an </t>
    </r>
    <r>
      <rPr>
        <b/>
        <sz val="11"/>
        <color theme="1"/>
        <rFont val="Calibri"/>
        <family val="2"/>
        <scheme val="minor"/>
      </rPr>
      <t>IF function</t>
    </r>
    <r>
      <rPr>
        <sz val="11"/>
        <color theme="1"/>
        <rFont val="Calibri"/>
        <family val="2"/>
        <scheme val="minor"/>
      </rPr>
      <t xml:space="preserve"> to check whether an employee has </t>
    </r>
    <r>
      <rPr>
        <b/>
        <sz val="11"/>
        <color theme="1"/>
        <rFont val="Calibri"/>
        <family val="2"/>
        <scheme val="minor"/>
      </rPr>
      <t>Exceeded</t>
    </r>
    <r>
      <rPr>
        <sz val="11"/>
        <color theme="1"/>
        <rFont val="Calibri"/>
        <family val="2"/>
        <scheme val="minor"/>
      </rPr>
      <t xml:space="preserve"> their allowed leave balance.</t>
    </r>
  </si>
  <si>
    <r>
      <t xml:space="preserve">If </t>
    </r>
    <r>
      <rPr>
        <b/>
        <sz val="11"/>
        <color theme="1"/>
        <rFont val="Calibri"/>
        <family val="2"/>
        <scheme val="minor"/>
      </rPr>
      <t>Leaves Taken &gt; Allowed Leaves</t>
    </r>
    <r>
      <rPr>
        <sz val="11"/>
        <color theme="1"/>
        <rFont val="Calibri"/>
        <family val="2"/>
        <scheme val="minor"/>
      </rPr>
      <t>, display "</t>
    </r>
    <r>
      <rPr>
        <b/>
        <sz val="11"/>
        <color theme="1"/>
        <rFont val="Calibri"/>
        <family val="2"/>
        <scheme val="minor"/>
      </rPr>
      <t>Exceeded</t>
    </r>
    <r>
      <rPr>
        <sz val="11"/>
        <color theme="1"/>
        <rFont val="Calibri"/>
        <family val="2"/>
        <scheme val="minor"/>
      </rPr>
      <t>".</t>
    </r>
  </si>
  <si>
    <r>
      <t>Otherwise, display "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"._x000B_</t>
    </r>
  </si>
  <si>
    <t>Leaves Allowance</t>
  </si>
  <si>
    <t>Q7</t>
  </si>
  <si>
    <t>Find the salary of EmpID = E105 using INDEX-MATCH Function.</t>
  </si>
  <si>
    <t>Salary</t>
  </si>
  <si>
    <t>E105</t>
  </si>
  <si>
    <t>E106</t>
  </si>
  <si>
    <t>Q8</t>
  </si>
  <si>
    <t>Use the XLOOKUP function to find the Department of the employee with Emp ID = E303.</t>
  </si>
  <si>
    <t>E303</t>
  </si>
  <si>
    <t>E301</t>
  </si>
  <si>
    <r>
      <t>VLOOKUP</t>
    </r>
    <r>
      <rPr>
        <sz val="11"/>
        <color theme="1"/>
        <rFont val="Calibri"/>
        <family val="2"/>
        <scheme val="minor"/>
      </rPr>
      <t xml:space="preserve"> is used because the </t>
    </r>
    <r>
      <rPr>
        <b/>
        <sz val="11"/>
        <color theme="1"/>
        <rFont val="Calibri"/>
        <family val="2"/>
        <scheme val="minor"/>
      </rPr>
      <t>Employee ID (EmpID)</t>
    </r>
    <r>
      <rPr>
        <sz val="11"/>
        <color theme="1"/>
        <rFont val="Calibri"/>
        <family val="2"/>
        <scheme val="minor"/>
      </rPr>
      <t xml:space="preserve"> is in the </t>
    </r>
    <r>
      <rPr>
        <b/>
        <sz val="11"/>
        <color theme="1"/>
        <rFont val="Calibri"/>
        <family val="2"/>
        <scheme val="minor"/>
      </rPr>
      <t>first column</t>
    </r>
    <r>
      <rPr>
        <sz val="11"/>
        <color theme="1"/>
        <rFont val="Calibri"/>
        <family val="2"/>
        <scheme val="minor"/>
      </rPr>
      <t xml:space="preserve"> of the table.</t>
    </r>
  </si>
  <si>
    <r>
      <t xml:space="preserve">It searches for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 xml:space="preserve"> in the first column and returns the corresponding value from the </t>
    </r>
    <r>
      <rPr>
        <b/>
        <sz val="11"/>
        <color theme="1"/>
        <rFont val="Calibri"/>
        <family val="2"/>
        <scheme val="minor"/>
      </rPr>
      <t>3rd column (Department)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</si>
  <si>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argument ensures an </t>
    </r>
    <r>
      <rPr>
        <b/>
        <sz val="11"/>
        <color theme="1"/>
        <rFont val="Calibri"/>
        <family val="2"/>
        <scheme val="minor"/>
      </rPr>
      <t>exact match</t>
    </r>
    <r>
      <rPr>
        <sz val="11"/>
        <color theme="1"/>
        <rFont val="Calibri"/>
        <family val="2"/>
        <scheme val="minor"/>
      </rPr>
      <t>, which is required for employee records.</t>
    </r>
  </si>
  <si>
    <r>
      <t>Therefore</t>
    </r>
    <r>
      <rPr>
        <sz val="11"/>
        <color theme="1"/>
        <rFont val="Calibri"/>
        <family val="2"/>
        <scheme val="minor"/>
      </rPr>
      <t>, VLOOKUP is the most suitable function for this task since the lookup value is on the left and the required result is on the right.</t>
    </r>
  </si>
  <si>
    <t>simple and follows VLOOKUP’s left-to-right requirement. Using VLOOKUP makes the formula easier to</t>
  </si>
  <si>
    <t>understand and appropriate for this table structure.</t>
  </si>
  <si>
    <r>
      <t xml:space="preserve">Although </t>
    </r>
    <r>
      <rPr>
        <b/>
        <sz val="11"/>
        <color theme="1"/>
        <rFont val="Calibri"/>
        <family val="2"/>
        <scheme val="minor"/>
      </rPr>
      <t>XLOOKUP</t>
    </r>
    <r>
      <rPr>
        <sz val="11"/>
        <color theme="1"/>
        <rFont val="Calibri"/>
        <family val="2"/>
        <scheme val="minor"/>
      </rPr>
      <t xml:space="preserve"> is more advanced and flexible, </t>
    </r>
    <r>
      <rPr>
        <b/>
        <sz val="11"/>
        <color theme="1"/>
        <rFont val="Calibri"/>
        <family val="2"/>
        <scheme val="minor"/>
      </rPr>
      <t>VLOOKUP is preferred here</t>
    </r>
    <r>
      <rPr>
        <sz val="11"/>
        <color theme="1"/>
        <rFont val="Calibri"/>
        <family val="2"/>
        <scheme val="minor"/>
      </rPr>
      <t xml:space="preserve"> because the data layout 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</si>
</sst>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2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0" xfId="0" applyFont="1" applyFill="1"/>
    <xf numFmtId="0" fontId="1" fillId="7" borderId="1" xfId="0" applyFont="1" applyFill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9" fontId="4" fillId="9" borderId="1" xfId="0" applyNumberFormat="1" applyFont="1" applyFill="1" applyBorder="1" applyAlignment="1">
      <alignment horizontal="center"/>
    </xf>
    <xf numFmtId="0" fontId="5" fillId="6" borderId="0" xfId="0" applyFont="1" applyFill="1"/>
    <xf numFmtId="0" fontId="6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0"/>
    </xf>
    <xf numFmtId="0" fontId="6" fillId="9" borderId="1" xfId="0" applyFont="1" applyFill="1" applyBorder="1"/>
    <xf numFmtId="0" fontId="4" fillId="9" borderId="1" xfId="0" applyFont="1" applyFill="1" applyBorder="1"/>
    <xf numFmtId="0" fontId="5" fillId="5" borderId="0" xfId="0" applyFont="1" applyFill="1"/>
    <xf numFmtId="0" fontId="5" fillId="2" borderId="0" xfId="0" applyFont="1" applyFill="1"/>
    <xf numFmtId="0" fontId="6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2" borderId="0" xfId="0" applyFont="1" applyFill="1"/>
    <xf numFmtId="0" fontId="8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3199-D2D0-4D00-96C5-C9CD1C64C1B6}">
  <dimension ref="A2:H25"/>
  <sheetViews>
    <sheetView topLeftCell="A3" workbookViewId="0">
      <selection activeCell="F18" sqref="F18"/>
    </sheetView>
  </sheetViews>
  <sheetFormatPr defaultRowHeight="14.4"/>
  <cols>
    <col min="2" max="2" width="12.88671875" bestFit="1" customWidth="1"/>
    <col min="4" max="4" width="12.88671875" bestFit="1" customWidth="1"/>
  </cols>
  <sheetData>
    <row r="2" spans="1:8" ht="25.8">
      <c r="H2" s="1" t="s">
        <v>0</v>
      </c>
    </row>
    <row r="5" spans="1:8" ht="18">
      <c r="A5" s="2" t="s">
        <v>1</v>
      </c>
      <c r="C5" t="s">
        <v>2</v>
      </c>
    </row>
    <row r="8" spans="1:8">
      <c r="B8" s="3" t="s">
        <v>3</v>
      </c>
      <c r="C8" s="3" t="s">
        <v>4</v>
      </c>
    </row>
    <row r="9" spans="1:8" ht="15.6">
      <c r="B9" s="4" t="s">
        <v>5</v>
      </c>
      <c r="C9" s="4">
        <v>45</v>
      </c>
    </row>
    <row r="10" spans="1:8" ht="15.6">
      <c r="B10" s="4" t="s">
        <v>6</v>
      </c>
      <c r="C10" s="4">
        <v>72</v>
      </c>
    </row>
    <row r="11" spans="1:8" ht="15.6">
      <c r="B11" s="4" t="s">
        <v>7</v>
      </c>
      <c r="C11" s="4">
        <v>55</v>
      </c>
    </row>
    <row r="12" spans="1:8" ht="15.6">
      <c r="B12" s="4" t="s">
        <v>8</v>
      </c>
      <c r="C12" s="4">
        <v>80</v>
      </c>
    </row>
    <row r="13" spans="1:8" ht="15.6">
      <c r="B13" s="4" t="s">
        <v>9</v>
      </c>
      <c r="C13" s="4">
        <v>30</v>
      </c>
    </row>
    <row r="17" spans="1:6" ht="18">
      <c r="A17" s="2" t="s">
        <v>10</v>
      </c>
      <c r="D17" s="3" t="s">
        <v>3</v>
      </c>
      <c r="E17" s="3" t="s">
        <v>4</v>
      </c>
      <c r="F17" s="3" t="s">
        <v>11</v>
      </c>
    </row>
    <row r="18" spans="1:6" ht="15.6">
      <c r="D18" s="4" t="s">
        <v>5</v>
      </c>
      <c r="E18" s="4">
        <v>45</v>
      </c>
      <c r="F18" s="4" t="str">
        <f>IF(E18&gt;=40, "Pass", "Fail")</f>
        <v>Pass</v>
      </c>
    </row>
    <row r="19" spans="1:6" ht="15.6">
      <c r="D19" s="4" t="s">
        <v>6</v>
      </c>
      <c r="E19" s="4">
        <v>72</v>
      </c>
      <c r="F19" s="4" t="str">
        <f t="shared" ref="F19:F22" si="0">IF(E19&gt;=40, "Pass", "Fail")</f>
        <v>Pass</v>
      </c>
    </row>
    <row r="20" spans="1:6" ht="15.6">
      <c r="D20" s="4" t="s">
        <v>7</v>
      </c>
      <c r="E20" s="4">
        <v>55</v>
      </c>
      <c r="F20" s="4" t="str">
        <f t="shared" si="0"/>
        <v>Pass</v>
      </c>
    </row>
    <row r="21" spans="1:6" ht="15.6">
      <c r="D21" s="4" t="s">
        <v>8</v>
      </c>
      <c r="E21" s="4">
        <v>80</v>
      </c>
      <c r="F21" s="4" t="str">
        <f t="shared" si="0"/>
        <v>Pass</v>
      </c>
    </row>
    <row r="22" spans="1:6" ht="15.6">
      <c r="D22" s="4" t="s">
        <v>9</v>
      </c>
      <c r="E22" s="4">
        <v>30</v>
      </c>
      <c r="F22" s="4" t="str">
        <f t="shared" si="0"/>
        <v>Fail</v>
      </c>
    </row>
    <row r="25" spans="1:6">
      <c r="B2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AF12-2C4A-4579-88F2-E26410EBAD0A}">
  <dimension ref="A3:F19"/>
  <sheetViews>
    <sheetView workbookViewId="0">
      <selection activeCell="F16" sqref="F16:F19"/>
    </sheetView>
  </sheetViews>
  <sheetFormatPr defaultRowHeight="14.4"/>
  <cols>
    <col min="3" max="3" width="17.33203125" customWidth="1"/>
    <col min="4" max="4" width="7.6640625" bestFit="1" customWidth="1"/>
    <col min="5" max="5" width="13.44140625" bestFit="1" customWidth="1"/>
    <col min="6" max="6" width="22.5546875" customWidth="1"/>
  </cols>
  <sheetData>
    <row r="3" spans="1:6" ht="18">
      <c r="A3" s="2" t="s">
        <v>13</v>
      </c>
      <c r="C3" t="s">
        <v>14</v>
      </c>
    </row>
    <row r="6" spans="1:6" ht="18">
      <c r="C6" s="5" t="s">
        <v>15</v>
      </c>
      <c r="D6" s="5" t="s">
        <v>16</v>
      </c>
      <c r="E6" s="5" t="s">
        <v>17</v>
      </c>
    </row>
    <row r="7" spans="1:6" ht="18">
      <c r="C7" s="6" t="s">
        <v>18</v>
      </c>
      <c r="D7" s="6">
        <v>55000</v>
      </c>
      <c r="E7" s="6">
        <v>95</v>
      </c>
    </row>
    <row r="8" spans="1:6" ht="18">
      <c r="C8" s="6" t="s">
        <v>19</v>
      </c>
      <c r="D8" s="6">
        <v>65000</v>
      </c>
      <c r="E8" s="6">
        <v>85</v>
      </c>
    </row>
    <row r="9" spans="1:6" ht="18">
      <c r="C9" s="6" t="s">
        <v>20</v>
      </c>
      <c r="D9" s="6">
        <v>30000</v>
      </c>
      <c r="E9" s="6">
        <v>90</v>
      </c>
    </row>
    <row r="10" spans="1:6" ht="18">
      <c r="C10" s="6" t="s">
        <v>21</v>
      </c>
      <c r="D10" s="6">
        <v>25000</v>
      </c>
      <c r="E10" s="6">
        <v>65</v>
      </c>
    </row>
    <row r="15" spans="1:6" ht="18">
      <c r="A15" s="2" t="s">
        <v>10</v>
      </c>
      <c r="C15" s="5" t="s">
        <v>15</v>
      </c>
      <c r="D15" s="5" t="s">
        <v>16</v>
      </c>
      <c r="E15" s="5" t="s">
        <v>17</v>
      </c>
      <c r="F15" s="5" t="s">
        <v>22</v>
      </c>
    </row>
    <row r="16" spans="1:6" ht="18">
      <c r="C16" s="6" t="s">
        <v>18</v>
      </c>
      <c r="D16" s="6">
        <v>55000</v>
      </c>
      <c r="E16" s="6">
        <v>95</v>
      </c>
      <c r="F16" s="7" t="str">
        <f>IF(AND(D16&gt;40000,E16&gt;=90),"Eligible","Not Eligible")</f>
        <v>Eligible</v>
      </c>
    </row>
    <row r="17" spans="3:6" ht="18">
      <c r="C17" s="6" t="s">
        <v>19</v>
      </c>
      <c r="D17" s="6">
        <v>65000</v>
      </c>
      <c r="E17" s="6">
        <v>85</v>
      </c>
      <c r="F17" s="7" t="str">
        <f t="shared" ref="F17:F19" si="0">IF(AND(D17&gt;40000,E17&gt;=90),"Eligible","Not Eligible")</f>
        <v>Not Eligible</v>
      </c>
    </row>
    <row r="18" spans="3:6" ht="18">
      <c r="C18" s="6" t="s">
        <v>20</v>
      </c>
      <c r="D18" s="6">
        <v>30000</v>
      </c>
      <c r="E18" s="6">
        <v>90</v>
      </c>
      <c r="F18" s="7" t="str">
        <f t="shared" si="0"/>
        <v>Not Eligible</v>
      </c>
    </row>
    <row r="19" spans="3:6" ht="18">
      <c r="C19" s="6" t="s">
        <v>21</v>
      </c>
      <c r="D19" s="6">
        <v>25000</v>
      </c>
      <c r="E19" s="6">
        <v>65</v>
      </c>
      <c r="F19" s="7" t="str">
        <f t="shared" si="0"/>
        <v>Not Eligible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EB4E-F38D-4FBB-93D0-DEFEF3C3A951}">
  <dimension ref="A3:E22"/>
  <sheetViews>
    <sheetView workbookViewId="0">
      <selection activeCell="E13" sqref="E13"/>
    </sheetView>
  </sheetViews>
  <sheetFormatPr defaultRowHeight="14.4"/>
  <cols>
    <col min="3" max="3" width="13.21875" customWidth="1"/>
    <col min="4" max="4" width="31.21875" customWidth="1"/>
    <col min="5" max="5" width="13.21875" customWidth="1"/>
    <col min="6" max="6" width="8.77734375" customWidth="1"/>
  </cols>
  <sheetData>
    <row r="3" spans="1:4" ht="18">
      <c r="A3" s="2" t="s">
        <v>23</v>
      </c>
      <c r="C3" t="s">
        <v>24</v>
      </c>
    </row>
    <row r="4" spans="1:4">
      <c r="C4" t="s">
        <v>25</v>
      </c>
    </row>
    <row r="7" spans="1:4" ht="15.6">
      <c r="C7" s="8" t="s">
        <v>3</v>
      </c>
      <c r="D7" s="8" t="s">
        <v>4</v>
      </c>
    </row>
    <row r="8" spans="1:4" ht="15.6">
      <c r="C8" s="4" t="s">
        <v>26</v>
      </c>
      <c r="D8" s="4">
        <v>85</v>
      </c>
    </row>
    <row r="9" spans="1:4" ht="15.6">
      <c r="C9" s="4" t="s">
        <v>27</v>
      </c>
      <c r="D9" s="4">
        <v>96</v>
      </c>
    </row>
    <row r="10" spans="1:4" ht="15.6">
      <c r="C10" s="4" t="s">
        <v>28</v>
      </c>
      <c r="D10" s="4">
        <v>57</v>
      </c>
    </row>
    <row r="11" spans="1:4" ht="15.6">
      <c r="C11" s="4" t="s">
        <v>29</v>
      </c>
      <c r="D11" s="4">
        <v>92</v>
      </c>
    </row>
    <row r="12" spans="1:4" ht="15.6">
      <c r="C12" s="4" t="s">
        <v>30</v>
      </c>
      <c r="D12" s="4">
        <v>75</v>
      </c>
    </row>
    <row r="16" spans="1:4" ht="18">
      <c r="A16" s="2" t="s">
        <v>10</v>
      </c>
    </row>
    <row r="17" spans="3:5" ht="15.6">
      <c r="C17" s="8" t="s">
        <v>3</v>
      </c>
      <c r="D17" s="8" t="s">
        <v>4</v>
      </c>
      <c r="E17" s="8" t="s">
        <v>11</v>
      </c>
    </row>
    <row r="18" spans="3:5" ht="15.6">
      <c r="C18" s="4" t="s">
        <v>26</v>
      </c>
      <c r="D18" s="4">
        <v>85</v>
      </c>
      <c r="E18" s="9" t="str">
        <f>IF(D18&gt;=90,"A",IF(D18&gt;=75,"B",IF(D18&gt;=50,"C","Fail")))</f>
        <v>B</v>
      </c>
    </row>
    <row r="19" spans="3:5" ht="15.6">
      <c r="C19" s="4" t="s">
        <v>27</v>
      </c>
      <c r="D19" s="4">
        <v>96</v>
      </c>
      <c r="E19" s="9" t="str">
        <f t="shared" ref="E19:E22" si="0">IF(D19&gt;=90,"A",IF(D19&gt;=75,"B",IF(D19&gt;=50,"C","Fail")))</f>
        <v>A</v>
      </c>
    </row>
    <row r="20" spans="3:5" ht="15.6">
      <c r="C20" s="4" t="s">
        <v>28</v>
      </c>
      <c r="D20" s="4">
        <v>57</v>
      </c>
      <c r="E20" s="9" t="str">
        <f t="shared" si="0"/>
        <v>C</v>
      </c>
    </row>
    <row r="21" spans="3:5" ht="15.6">
      <c r="C21" s="4" t="s">
        <v>29</v>
      </c>
      <c r="D21" s="4">
        <v>92</v>
      </c>
      <c r="E21" s="9" t="str">
        <f t="shared" si="0"/>
        <v>A</v>
      </c>
    </row>
    <row r="22" spans="3:5" ht="15.6">
      <c r="C22" s="4" t="s">
        <v>30</v>
      </c>
      <c r="D22" s="4">
        <v>75</v>
      </c>
      <c r="E22" s="9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2205-C135-4365-8063-79504E86A13A}">
  <dimension ref="A3:F27"/>
  <sheetViews>
    <sheetView topLeftCell="A3" workbookViewId="0">
      <selection activeCell="D16" sqref="D16"/>
    </sheetView>
  </sheetViews>
  <sheetFormatPr defaultRowHeight="14.4"/>
  <cols>
    <col min="3" max="3" width="10.21875" customWidth="1"/>
    <col min="4" max="4" width="10.5546875" customWidth="1"/>
    <col min="5" max="5" width="11" customWidth="1"/>
    <col min="6" max="6" width="11.109375" bestFit="1" customWidth="1"/>
  </cols>
  <sheetData>
    <row r="3" spans="1:6" ht="18">
      <c r="A3" s="10" t="s">
        <v>31</v>
      </c>
      <c r="C3" t="s">
        <v>32</v>
      </c>
    </row>
    <row r="5" spans="1:6">
      <c r="D5" s="11" t="s">
        <v>33</v>
      </c>
      <c r="E5" s="11" t="s">
        <v>34</v>
      </c>
      <c r="F5" s="11" t="s">
        <v>35</v>
      </c>
    </row>
    <row r="6" spans="1:6">
      <c r="D6" s="12" t="s">
        <v>36</v>
      </c>
      <c r="E6" s="12" t="s">
        <v>7</v>
      </c>
      <c r="F6" s="12" t="s">
        <v>37</v>
      </c>
    </row>
    <row r="7" spans="1:6">
      <c r="D7" s="12" t="s">
        <v>38</v>
      </c>
      <c r="E7" s="12" t="s">
        <v>5</v>
      </c>
      <c r="F7" s="12" t="s">
        <v>39</v>
      </c>
    </row>
    <row r="8" spans="1:6">
      <c r="D8" s="12" t="s">
        <v>40</v>
      </c>
      <c r="E8" s="12" t="s">
        <v>41</v>
      </c>
      <c r="F8" s="12" t="s">
        <v>42</v>
      </c>
    </row>
    <row r="9" spans="1:6">
      <c r="D9" s="12" t="s">
        <v>43</v>
      </c>
      <c r="E9" s="12" t="s">
        <v>44</v>
      </c>
      <c r="F9" s="12" t="s">
        <v>16</v>
      </c>
    </row>
    <row r="13" spans="1:6" ht="15" thickBot="1"/>
    <row r="14" spans="1:6" ht="21.6" thickBot="1">
      <c r="A14" s="27" t="s">
        <v>10</v>
      </c>
      <c r="C14" s="26" t="s">
        <v>40</v>
      </c>
    </row>
    <row r="16" spans="1:6" ht="15.6">
      <c r="D16" s="28" t="str">
        <f>VLOOKUP(C14,D5:F9,3,FALSE)</f>
        <v>Finance</v>
      </c>
    </row>
    <row r="19" spans="3:3">
      <c r="C19" s="29" t="s">
        <v>72</v>
      </c>
    </row>
    <row r="20" spans="3:3">
      <c r="C20" t="s">
        <v>73</v>
      </c>
    </row>
    <row r="21" spans="3:3">
      <c r="C21" s="30" t="s">
        <v>74</v>
      </c>
    </row>
    <row r="22" spans="3:3">
      <c r="C22" s="29" t="s">
        <v>75</v>
      </c>
    </row>
    <row r="25" spans="3:3">
      <c r="C25" t="s">
        <v>78</v>
      </c>
    </row>
    <row r="26" spans="3:3">
      <c r="C26" t="s">
        <v>76</v>
      </c>
    </row>
    <row r="27" spans="3:3">
      <c r="C27" t="s">
        <v>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AF70-4EE7-4D99-8793-5646AE91AA0C}">
  <dimension ref="A3:F16"/>
  <sheetViews>
    <sheetView workbookViewId="0">
      <selection activeCell="F16" sqref="F16"/>
    </sheetView>
  </sheetViews>
  <sheetFormatPr defaultRowHeight="14.4"/>
  <cols>
    <col min="5" max="5" width="13.44140625" bestFit="1" customWidth="1"/>
    <col min="6" max="6" width="16.77734375" bestFit="1" customWidth="1"/>
  </cols>
  <sheetData>
    <row r="3" spans="1:6" ht="18">
      <c r="A3" s="10" t="s">
        <v>45</v>
      </c>
      <c r="C3" t="s">
        <v>46</v>
      </c>
    </row>
    <row r="5" spans="1:6" ht="15.6">
      <c r="E5" s="13" t="s">
        <v>47</v>
      </c>
      <c r="F5" s="13" t="s">
        <v>48</v>
      </c>
    </row>
    <row r="6" spans="1:6" ht="15.6">
      <c r="E6" s="14">
        <v>0</v>
      </c>
      <c r="F6" s="15">
        <v>0.05</v>
      </c>
    </row>
    <row r="7" spans="1:6" ht="15.6">
      <c r="E7" s="14">
        <v>20000</v>
      </c>
      <c r="F7" s="15">
        <v>0.1</v>
      </c>
    </row>
    <row r="8" spans="1:6" ht="15.6">
      <c r="E8" s="14">
        <v>50000</v>
      </c>
      <c r="F8" s="15">
        <v>0.15</v>
      </c>
    </row>
    <row r="9" spans="1:6" ht="15.6">
      <c r="E9" s="14">
        <v>80000</v>
      </c>
      <c r="F9" s="15">
        <v>0.2</v>
      </c>
    </row>
    <row r="11" spans="1:6">
      <c r="C11" t="s">
        <v>49</v>
      </c>
    </row>
    <row r="15" spans="1:6" ht="18">
      <c r="A15" s="16" t="s">
        <v>10</v>
      </c>
      <c r="E15" s="13" t="s">
        <v>47</v>
      </c>
      <c r="F15" s="13" t="s">
        <v>48</v>
      </c>
    </row>
    <row r="16" spans="1:6" ht="15.6">
      <c r="E16" s="14">
        <v>45000</v>
      </c>
      <c r="F16" s="15">
        <f>VLOOKUP(E16,E6:F9,2,TRUE)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C8D8-27AF-404E-BB65-779957029CED}">
  <dimension ref="A3:G20"/>
  <sheetViews>
    <sheetView topLeftCell="A2" workbookViewId="0">
      <selection activeCell="G20" sqref="G20"/>
    </sheetView>
  </sheetViews>
  <sheetFormatPr defaultRowHeight="14.4"/>
  <cols>
    <col min="4" max="4" width="15.77734375" bestFit="1" customWidth="1"/>
    <col min="5" max="5" width="13" bestFit="1" customWidth="1"/>
    <col min="6" max="6" width="15" bestFit="1" customWidth="1"/>
    <col min="7" max="7" width="17.109375" bestFit="1" customWidth="1"/>
  </cols>
  <sheetData>
    <row r="3" spans="1:6" ht="18">
      <c r="A3" s="16" t="s">
        <v>50</v>
      </c>
      <c r="C3" t="s">
        <v>51</v>
      </c>
    </row>
    <row r="5" spans="1:6" ht="15.6">
      <c r="D5" s="17" t="s">
        <v>52</v>
      </c>
      <c r="E5" s="17" t="s">
        <v>53</v>
      </c>
      <c r="F5" s="17" t="s">
        <v>54</v>
      </c>
    </row>
    <row r="6" spans="1:6" ht="15.6">
      <c r="D6" s="18" t="s">
        <v>55</v>
      </c>
      <c r="E6" s="18">
        <v>10</v>
      </c>
      <c r="F6" s="18">
        <v>12</v>
      </c>
    </row>
    <row r="7" spans="1:6" ht="15.6">
      <c r="D7" s="18" t="s">
        <v>56</v>
      </c>
      <c r="E7" s="18">
        <v>10</v>
      </c>
      <c r="F7" s="18">
        <v>15</v>
      </c>
    </row>
    <row r="8" spans="1:6" ht="15.6">
      <c r="D8" s="18" t="s">
        <v>57</v>
      </c>
      <c r="E8" s="18">
        <v>8</v>
      </c>
      <c r="F8" s="18">
        <v>12</v>
      </c>
    </row>
    <row r="11" spans="1:6">
      <c r="C11" t="s">
        <v>59</v>
      </c>
    </row>
    <row r="12" spans="1:6">
      <c r="D12" s="19" t="s">
        <v>58</v>
      </c>
      <c r="E12" t="s">
        <v>60</v>
      </c>
    </row>
    <row r="13" spans="1:6">
      <c r="D13" s="19" t="s">
        <v>58</v>
      </c>
      <c r="E13" t="s">
        <v>61</v>
      </c>
    </row>
    <row r="17" spans="1:7" ht="18">
      <c r="A17" s="16" t="s">
        <v>10</v>
      </c>
      <c r="D17" s="17" t="s">
        <v>52</v>
      </c>
      <c r="E17" s="17" t="s">
        <v>53</v>
      </c>
      <c r="F17" s="17" t="s">
        <v>54</v>
      </c>
      <c r="G17" s="17" t="s">
        <v>62</v>
      </c>
    </row>
    <row r="18" spans="1:7" ht="15.6">
      <c r="D18" s="18" t="s">
        <v>55</v>
      </c>
      <c r="E18" s="18">
        <v>10</v>
      </c>
      <c r="F18" s="18">
        <v>12</v>
      </c>
      <c r="G18" s="18" t="str">
        <f>IF(E18&gt;F18, "Exceeded", "OK")</f>
        <v>OK</v>
      </c>
    </row>
    <row r="19" spans="1:7" ht="15.6">
      <c r="D19" s="18" t="s">
        <v>56</v>
      </c>
      <c r="E19" s="18">
        <v>10</v>
      </c>
      <c r="F19" s="18">
        <v>15</v>
      </c>
      <c r="G19" s="18" t="str">
        <f t="shared" ref="G19:G20" si="0">IF(E19&gt;F19, "Exceeded", "OK")</f>
        <v>OK</v>
      </c>
    </row>
    <row r="20" spans="1:7" ht="15.6">
      <c r="D20" s="18" t="s">
        <v>57</v>
      </c>
      <c r="E20" s="18">
        <v>8</v>
      </c>
      <c r="F20" s="18">
        <v>12</v>
      </c>
      <c r="G20" s="18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BCFD-0131-42E4-BC0D-E2950BD2D3B0}">
  <dimension ref="A3:F13"/>
  <sheetViews>
    <sheetView workbookViewId="0">
      <selection activeCell="E13" sqref="E13"/>
    </sheetView>
  </sheetViews>
  <sheetFormatPr defaultRowHeight="14.4"/>
  <cols>
    <col min="6" max="6" width="15.21875" customWidth="1"/>
  </cols>
  <sheetData>
    <row r="3" spans="1:6" ht="18">
      <c r="A3" s="16" t="s">
        <v>63</v>
      </c>
      <c r="C3" t="s">
        <v>64</v>
      </c>
    </row>
    <row r="5" spans="1:6" ht="15.6">
      <c r="E5" s="20" t="s">
        <v>33</v>
      </c>
      <c r="F5" s="13" t="s">
        <v>65</v>
      </c>
    </row>
    <row r="6" spans="1:6" ht="15.6">
      <c r="E6" s="21" t="s">
        <v>43</v>
      </c>
      <c r="F6" s="14">
        <v>55000</v>
      </c>
    </row>
    <row r="7" spans="1:6" ht="15.6">
      <c r="E7" s="21" t="s">
        <v>66</v>
      </c>
      <c r="F7" s="14">
        <v>72000</v>
      </c>
    </row>
    <row r="8" spans="1:6" ht="15.6">
      <c r="E8" s="21" t="s">
        <v>67</v>
      </c>
      <c r="F8" s="14">
        <v>62000</v>
      </c>
    </row>
    <row r="9" spans="1:6" ht="15.6">
      <c r="E9" s="21" t="s">
        <v>38</v>
      </c>
      <c r="F9" s="14">
        <v>41000</v>
      </c>
    </row>
    <row r="13" spans="1:6" ht="18">
      <c r="A13" s="16" t="s">
        <v>10</v>
      </c>
      <c r="E13" s="22">
        <f>INDEX(F6:F9,MATCH(E7,E6:E9,0))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B69F-A5D6-4891-903F-D69392C7BDD0}">
  <dimension ref="A3:F13"/>
  <sheetViews>
    <sheetView tabSelected="1" workbookViewId="0">
      <selection activeCell="E13" sqref="E13"/>
    </sheetView>
  </sheetViews>
  <sheetFormatPr defaultRowHeight="14.4"/>
  <cols>
    <col min="6" max="6" width="10.77734375" customWidth="1"/>
  </cols>
  <sheetData>
    <row r="3" spans="1:6" ht="18">
      <c r="A3" s="23" t="s">
        <v>68</v>
      </c>
      <c r="C3" t="s">
        <v>69</v>
      </c>
    </row>
    <row r="5" spans="1:6" ht="15.6">
      <c r="E5" s="24" t="s">
        <v>33</v>
      </c>
      <c r="F5" s="24" t="s">
        <v>65</v>
      </c>
    </row>
    <row r="6" spans="1:6" ht="15.6">
      <c r="E6" s="25" t="s">
        <v>36</v>
      </c>
      <c r="F6" s="25" t="s">
        <v>39</v>
      </c>
    </row>
    <row r="7" spans="1:6" ht="15.6">
      <c r="E7" s="25" t="s">
        <v>70</v>
      </c>
      <c r="F7" s="25" t="s">
        <v>37</v>
      </c>
    </row>
    <row r="8" spans="1:6" ht="15.6">
      <c r="E8" s="25" t="s">
        <v>67</v>
      </c>
      <c r="F8" s="25" t="s">
        <v>16</v>
      </c>
    </row>
    <row r="9" spans="1:6" ht="15.6">
      <c r="E9" s="25" t="s">
        <v>71</v>
      </c>
      <c r="F9" s="25" t="s">
        <v>42</v>
      </c>
    </row>
    <row r="13" spans="1:6" ht="36.6">
      <c r="A13" s="23" t="s">
        <v>10</v>
      </c>
      <c r="E13" s="31" t="str">
        <f>_xlfn.XLOOKUP(E7,E5:E9,F5:F9,,0,1)</f>
        <v>IT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</dc:creator>
  <cp:lastModifiedBy>Dolsy Sabharwal</cp:lastModifiedBy>
  <dcterms:created xsi:type="dcterms:W3CDTF">2026-01-09T16:13:03Z</dcterms:created>
  <dcterms:modified xsi:type="dcterms:W3CDTF">2026-01-20T05:02:50Z</dcterms:modified>
</cp:coreProperties>
</file>