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ik\Desktop\"/>
    </mc:Choice>
  </mc:AlternateContent>
  <xr:revisionPtr revIDLastSave="0" documentId="13_ncr:1_{853CB044-730E-4994-8C64-69212B68F489}" xr6:coauthVersionLast="47" xr6:coauthVersionMax="47" xr10:uidLastSave="{00000000-0000-0000-0000-000000000000}"/>
  <bookViews>
    <workbookView xWindow="-110" yWindow="-110" windowWidth="19420" windowHeight="10300" xr2:uid="{1075F514-3869-40DE-9A91-CFAC822CE8E1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6" l="1"/>
  <c r="E54" i="8"/>
  <c r="G48" i="8"/>
  <c r="E39" i="8"/>
  <c r="E30" i="8"/>
  <c r="G44" i="7"/>
  <c r="G45" i="7"/>
  <c r="G46" i="7"/>
  <c r="G43" i="7"/>
  <c r="G32" i="7"/>
  <c r="G26" i="7"/>
  <c r="H19" i="7"/>
  <c r="H14" i="7"/>
  <c r="F34" i="6"/>
  <c r="F27" i="6"/>
  <c r="F21" i="6"/>
  <c r="F16" i="6"/>
  <c r="F58" i="3"/>
  <c r="F57" i="3"/>
  <c r="E47" i="3"/>
  <c r="E46" i="3"/>
  <c r="E36" i="3"/>
  <c r="E35" i="3"/>
  <c r="E25" i="3"/>
  <c r="E24" i="3"/>
  <c r="E14" i="3"/>
  <c r="E13" i="3"/>
</calcChain>
</file>

<file path=xl/sharedStrings.xml><?xml version="1.0" encoding="utf-8"?>
<sst xmlns="http://schemas.openxmlformats.org/spreadsheetml/2006/main" count="353" uniqueCount="243">
  <si>
    <t>Data Cleaning &amp; Essential Functions Assignment</t>
  </si>
  <si>
    <t xml:space="preserve">Q1. </t>
  </si>
  <si>
    <t>What is data cleaning, and why is it important in data analysis?</t>
  </si>
  <si>
    <t>* What are the potential consequences of analyzing unclean or messy data?</t>
  </si>
  <si>
    <t>* Explain the common steps involved in cleaning and organizing data.</t>
  </si>
  <si>
    <t>Ans-</t>
  </si>
  <si>
    <r>
      <t>Data cleaning</t>
    </r>
    <r>
      <rPr>
        <sz val="11"/>
        <color theme="1"/>
        <rFont val="Calibri"/>
        <family val="2"/>
        <scheme val="minor"/>
      </rPr>
      <t xml:space="preserve"> (also called data cleansing) is the process of identifying and correcting—or removing—errors, inconsistencies, and inaccuracies in raw data so it can be reliably used for analysis.</t>
    </r>
  </si>
  <si>
    <t>It is important because:</t>
  </si>
  <si>
    <t>*</t>
  </si>
  <si>
    <r>
      <t xml:space="preserve">Raw data is often </t>
    </r>
    <r>
      <rPr>
        <b/>
        <sz val="11"/>
        <color theme="1"/>
        <rFont val="Calibri"/>
        <family val="2"/>
        <scheme val="minor"/>
      </rPr>
      <t>incomplete, inconsistent, or incorrect</t>
    </r>
  </si>
  <si>
    <r>
      <t xml:space="preserve">Clean data ensures </t>
    </r>
    <r>
      <rPr>
        <b/>
        <sz val="11"/>
        <color theme="1"/>
        <rFont val="Calibri"/>
        <family val="2"/>
        <scheme val="minor"/>
      </rPr>
      <t>accurate analysis and valid conclusions</t>
    </r>
  </si>
  <si>
    <r>
      <t xml:space="preserve">It improves the </t>
    </r>
    <r>
      <rPr>
        <b/>
        <sz val="11"/>
        <color theme="1"/>
        <rFont val="Calibri"/>
        <family val="2"/>
        <scheme val="minor"/>
      </rPr>
      <t>quality of insights, models, and decisions</t>
    </r>
  </si>
  <si>
    <r>
      <t xml:space="preserve">It makes data easier to </t>
    </r>
    <r>
      <rPr>
        <b/>
        <sz val="11"/>
        <color theme="1"/>
        <rFont val="Calibri"/>
        <family val="2"/>
        <scheme val="minor"/>
      </rPr>
      <t>analyze, visualize, and interpret</t>
    </r>
  </si>
  <si>
    <t>Potential consequences of analyzing unclean or messy data</t>
  </si>
  <si>
    <r>
      <t>Incorrect conclusions</t>
    </r>
    <r>
      <rPr>
        <sz val="11"/>
        <color theme="1"/>
        <rFont val="Calibri"/>
        <family val="2"/>
        <scheme val="minor"/>
      </rPr>
      <t xml:space="preserve"> – Errors or inconsistencies can distort results</t>
    </r>
  </si>
  <si>
    <r>
      <t>Biased analysis</t>
    </r>
    <r>
      <rPr>
        <sz val="11"/>
        <color theme="1"/>
        <rFont val="Calibri"/>
        <family val="2"/>
        <scheme val="minor"/>
      </rPr>
      <t xml:space="preserve"> – Missing or duplicated data may overrepresent or underrepresent certain groups</t>
    </r>
  </si>
  <si>
    <r>
      <t>Poor decision-making</t>
    </r>
    <r>
      <rPr>
        <sz val="11"/>
        <color theme="1"/>
        <rFont val="Calibri"/>
        <family val="2"/>
        <scheme val="minor"/>
      </rPr>
      <t xml:space="preserve"> – Decisions based on faulty data can have financial, operational, or ethical consequences</t>
    </r>
  </si>
  <si>
    <r>
      <t>Loss of credibility</t>
    </r>
    <r>
      <rPr>
        <sz val="11"/>
        <color theme="1"/>
        <rFont val="Calibri"/>
        <family val="2"/>
        <scheme val="minor"/>
      </rPr>
      <t xml:space="preserve"> – Stakeholders may lose trust in the analysis and analyst</t>
    </r>
  </si>
  <si>
    <r>
      <t>Wasted time and resources</t>
    </r>
    <r>
      <rPr>
        <sz val="11"/>
        <color theme="1"/>
        <rFont val="Calibri"/>
        <family val="2"/>
        <scheme val="minor"/>
      </rPr>
      <t xml:space="preserve"> – Fixing mistakes after analysis is far more costly</t>
    </r>
  </si>
  <si>
    <t>Common steps involved in cleaning and organizing data</t>
  </si>
  <si>
    <t>Understanding the data</t>
  </si>
  <si>
    <t>Review data sources, structure, and meaning of variables</t>
  </si>
  <si>
    <t>Identify expected ranges, formats, and relationships</t>
  </si>
  <si>
    <t>Handling missing data</t>
  </si>
  <si>
    <t>Remove rows or columns with excessive missing values</t>
  </si>
  <si>
    <t>Fill missing values using methods like mean, median, or interpolation</t>
  </si>
  <si>
    <t>Flag missing values when necessary</t>
  </si>
  <si>
    <t>Removing duplicates</t>
  </si>
  <si>
    <t>Identify and delete duplicate records to avoid skewed results</t>
  </si>
  <si>
    <t>Correcting data types and formats</t>
  </si>
  <si>
    <t>Convert data to appropriate types (e.g., dates, numbers, categories)</t>
  </si>
  <si>
    <t>Standardize formats (e.g., date formats, capitalization)</t>
  </si>
  <si>
    <t>Fixing inconsistencies</t>
  </si>
  <si>
    <t>Resolve spelling errors and inconsistent labels (e.g., “USA” vs. “United States”)</t>
  </si>
  <si>
    <t>Validating data</t>
  </si>
  <si>
    <t>Check logical rules and constraints (e.g., age cannot be negative)</t>
  </si>
  <si>
    <t>Ensure relationships between variables make sense</t>
  </si>
  <si>
    <t>Q2.</t>
  </si>
  <si>
    <t>How would you sort the following dataset first by "Department" (A-Z) and then by "Salary" (Largest to Smallest)? Write a step-by-step approach.</t>
  </si>
  <si>
    <t>Employee</t>
  </si>
  <si>
    <t xml:space="preserve">Department </t>
  </si>
  <si>
    <t xml:space="preserve">Salary </t>
  </si>
  <si>
    <t>Sonu</t>
  </si>
  <si>
    <t>IT</t>
  </si>
  <si>
    <t>Pranav</t>
  </si>
  <si>
    <t>HR</t>
  </si>
  <si>
    <t>Rahul</t>
  </si>
  <si>
    <t>Sorting Department</t>
  </si>
  <si>
    <t xml:space="preserve">Step 1 </t>
  </si>
  <si>
    <t>Step 2</t>
  </si>
  <si>
    <t>Step 3</t>
  </si>
  <si>
    <t>Step 4</t>
  </si>
  <si>
    <t>Select the table</t>
  </si>
  <si>
    <t>Go to the Data tab</t>
  </si>
  <si>
    <t>Select the Sort option in Sort &amp; Filter group under Data Tab</t>
  </si>
  <si>
    <t>You will see 3 options</t>
  </si>
  <si>
    <t>Step 5</t>
  </si>
  <si>
    <t xml:space="preserve">Select DEPARTMENT column in sort by "Values" on sort on option and Order  (A-Z) and click okay and your column is sorted </t>
  </si>
  <si>
    <t>Sorting salary</t>
  </si>
  <si>
    <t xml:space="preserve">Select Salary column in sort by , and value on sort by and in "Order select Largest to Smallest" </t>
  </si>
  <si>
    <t>Q3</t>
  </si>
  <si>
    <t>Explain the use of text functions such as TRIM , LEFT, RIGHT, MID, and CONCAT in data cleaning.</t>
  </si>
  <si>
    <t>Ans</t>
  </si>
  <si>
    <r>
      <t xml:space="preserve">Text functions are commonly used in </t>
    </r>
    <r>
      <rPr>
        <b/>
        <sz val="12"/>
        <color theme="1"/>
        <rFont val="Calibri"/>
        <family val="2"/>
        <scheme val="minor"/>
      </rPr>
      <t>data cleaning</t>
    </r>
    <r>
      <rPr>
        <sz val="12"/>
        <color theme="1"/>
        <rFont val="Calibri"/>
        <family val="2"/>
        <scheme val="minor"/>
      </rPr>
      <t xml:space="preserve"> to fix formatting issues, extract useful information, and combine text fields—especially in tools like </t>
    </r>
    <r>
      <rPr>
        <b/>
        <sz val="12"/>
        <color theme="1"/>
        <rFont val="Calibri"/>
        <family val="2"/>
        <scheme val="minor"/>
      </rPr>
      <t>Excel, Google Sheets</t>
    </r>
  </si>
  <si>
    <t>TRIM</t>
  </si>
  <si>
    <r>
      <t>Purpose:</t>
    </r>
    <r>
      <rPr>
        <sz val="12"/>
        <color theme="1"/>
        <rFont val="Calibri"/>
        <family val="2"/>
        <scheme val="minor"/>
      </rPr>
      <t xml:space="preserve"> Removes extra spaces from text (leading, trailing, and multiple internal spaces).</t>
    </r>
  </si>
  <si>
    <t>It helps in fixing inconsistent spacing and also prevents mismatches during sorting, filtering, or lookups</t>
  </si>
  <si>
    <t>Before Trim</t>
  </si>
  <si>
    <t>After Trim</t>
  </si>
  <si>
    <t>Satyajit        chaudhary</t>
  </si>
  <si>
    <t>Ramesh   Sharma</t>
  </si>
  <si>
    <t>LEFT</t>
  </si>
  <si>
    <r>
      <t>Purpose:</t>
    </r>
    <r>
      <rPr>
        <sz val="11"/>
        <color theme="1"/>
        <rFont val="Calibri"/>
        <family val="2"/>
        <scheme val="minor"/>
      </rPr>
      <t xml:space="preserve"> Extracts a specified number of characters from the </t>
    </r>
    <r>
      <rPr>
        <b/>
        <sz val="11"/>
        <color theme="1"/>
        <rFont val="Calibri"/>
        <family val="2"/>
        <scheme val="minor"/>
      </rPr>
      <t>beginning</t>
    </r>
    <r>
      <rPr>
        <sz val="11"/>
        <color theme="1"/>
        <rFont val="Calibri"/>
        <family val="2"/>
        <scheme val="minor"/>
      </rPr>
      <t xml:space="preserve"> of a text string.</t>
    </r>
  </si>
  <si>
    <t>It helps in Isolating prefixes, country codes, or category identifiers, and split combined data fields</t>
  </si>
  <si>
    <t>Pass the function left (cell you want to extract characters from, number of character you want to extract)</t>
  </si>
  <si>
    <t>Before Left</t>
  </si>
  <si>
    <t>After Left</t>
  </si>
  <si>
    <t>In this example we extracted 7 characters.</t>
  </si>
  <si>
    <t>RIGHT</t>
  </si>
  <si>
    <t>Purpose: Extracts a specified number of characters from the end of a text string.</t>
  </si>
  <si>
    <t xml:space="preserve"> Similar to left() function right() function extracts the characters from the right end side</t>
  </si>
  <si>
    <t>Useful when key information is consistently at the end</t>
  </si>
  <si>
    <t>Before Right</t>
  </si>
  <si>
    <t>After Right</t>
  </si>
  <si>
    <t>MID</t>
  </si>
  <si>
    <r>
      <t>Purpose:</t>
    </r>
    <r>
      <rPr>
        <sz val="11"/>
        <color theme="1"/>
        <rFont val="Calibri"/>
        <family val="2"/>
        <scheme val="minor"/>
      </rPr>
      <t xml:space="preserve"> Extracts text from the </t>
    </r>
    <r>
      <rPr>
        <b/>
        <sz val="11"/>
        <color theme="1"/>
        <rFont val="Calibri"/>
        <family val="2"/>
        <scheme val="minor"/>
      </rPr>
      <t>middle</t>
    </r>
    <r>
      <rPr>
        <sz val="11"/>
        <color theme="1"/>
        <rFont val="Calibri"/>
        <family val="2"/>
        <scheme val="minor"/>
      </rPr>
      <t xml:space="preserve"> of a string, starting at a given position for a specified length.</t>
    </r>
  </si>
  <si>
    <t>It extracts embedded values like product codes or dates</t>
  </si>
  <si>
    <t xml:space="preserve"> It also cleans data where information is stored in fixed positions</t>
  </si>
  <si>
    <t>Before Mid</t>
  </si>
  <si>
    <t>After MID</t>
  </si>
  <si>
    <t>CONCAT</t>
  </si>
  <si>
    <r>
      <t>Purpose:</t>
    </r>
    <r>
      <rPr>
        <sz val="11"/>
        <color theme="1"/>
        <rFont val="Calibri"/>
        <family val="2"/>
        <scheme val="minor"/>
      </rPr>
      <t xml:space="preserve"> Combines multiple text strings into one.</t>
    </r>
  </si>
  <si>
    <t>Merges split columns (e.g., first name + last name)</t>
  </si>
  <si>
    <t>Creates unique identifiers</t>
  </si>
  <si>
    <t>Standardizes formatting</t>
  </si>
  <si>
    <t>Name1</t>
  </si>
  <si>
    <t>Name2</t>
  </si>
  <si>
    <t>Using CONCAT</t>
  </si>
  <si>
    <t>Satyajit</t>
  </si>
  <si>
    <t>Chaudhary</t>
  </si>
  <si>
    <t>Shelby</t>
  </si>
  <si>
    <t>Roy</t>
  </si>
  <si>
    <t>Q4</t>
  </si>
  <si>
    <t>What is the role of date functions like TODAY in managing datasets?</t>
  </si>
  <si>
    <r>
      <t xml:space="preserve">Date functions such as </t>
    </r>
    <r>
      <rPr>
        <b/>
        <sz val="12"/>
        <color theme="1"/>
        <rFont val="Calibri"/>
        <family val="2"/>
        <scheme val="minor"/>
      </rPr>
      <t>TODAY</t>
    </r>
    <r>
      <rPr>
        <sz val="12"/>
        <color theme="1"/>
        <rFont val="Calibri"/>
        <family val="2"/>
        <scheme val="minor"/>
      </rPr>
      <t xml:space="preserve"> play an important role in managing and analyzing datasets by making data </t>
    </r>
    <r>
      <rPr>
        <b/>
        <sz val="12"/>
        <color theme="1"/>
        <rFont val="Calibri"/>
        <family val="2"/>
        <scheme val="minor"/>
      </rPr>
      <t>dynamic, time-aware, and up to date</t>
    </r>
    <r>
      <rPr>
        <sz val="12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</si>
  <si>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TODAY()</t>
    </r>
    <r>
      <rPr>
        <sz val="11"/>
        <color theme="1"/>
        <rFont val="Calibri"/>
        <family val="2"/>
        <scheme val="minor"/>
      </rPr>
      <t xml:space="preserve"> function returns the </t>
    </r>
    <r>
      <rPr>
        <b/>
        <sz val="11"/>
        <color theme="1"/>
        <rFont val="Calibri"/>
        <family val="2"/>
        <scheme val="minor"/>
      </rPr>
      <t>current system date</t>
    </r>
    <r>
      <rPr>
        <sz val="11"/>
        <color theme="1"/>
        <rFont val="Calibri"/>
        <family val="2"/>
        <scheme val="minor"/>
      </rPr>
      <t xml:space="preserve"> and automatically updates each day when the file is opened or recalculated.</t>
    </r>
  </si>
  <si>
    <t>Roles of date functions like TODAY in dataset management</t>
  </si>
  <si>
    <t>1. Tracking data freshness</t>
  </si>
  <si>
    <t>Helps identify how recent data is</t>
  </si>
  <si>
    <t>Allows analysts to check whether data is outdated</t>
  </si>
  <si>
    <t>2. Automating time-based calculations</t>
  </si>
  <si>
    <t>Enables automatic calculation of durations, ages, or deadlines</t>
  </si>
  <si>
    <t>Eliminates the need for manual date updates</t>
  </si>
  <si>
    <t>Days until a deadline</t>
  </si>
  <si>
    <t>Customer age from date of birth</t>
  </si>
  <si>
    <t>Loan duration from start date</t>
  </si>
  <si>
    <t>Example-</t>
  </si>
  <si>
    <t>Used to filter records by current date, past dates, or future dates</t>
  </si>
  <si>
    <t>Supports rolling time windows (e.g., last 7 days, last 30 days)</t>
  </si>
  <si>
    <r>
      <t xml:space="preserve">3. </t>
    </r>
    <r>
      <rPr>
        <b/>
        <sz val="11"/>
        <color theme="1"/>
        <rFont val="Calibri"/>
        <family val="2"/>
        <scheme val="minor"/>
      </rPr>
      <t>Filtering and segmenting data</t>
    </r>
  </si>
  <si>
    <r>
      <t xml:space="preserve">4. </t>
    </r>
    <r>
      <rPr>
        <b/>
        <sz val="11"/>
        <color theme="1"/>
        <rFont val="Calibri"/>
        <family val="2"/>
        <scheme val="minor"/>
      </rPr>
      <t>Monitoring deadlines and alerts</t>
    </r>
  </si>
  <si>
    <t>Helps flag overdue tasks, payments, or expiring contracts</t>
  </si>
  <si>
    <t>Often combined with conditional formatting</t>
  </si>
  <si>
    <t>Prevents entry of future or invalid dates</t>
  </si>
  <si>
    <t>Ensures consistency when comparing date-based fields</t>
  </si>
  <si>
    <r>
      <t xml:space="preserve">5. </t>
    </r>
    <r>
      <rPr>
        <b/>
        <sz val="11"/>
        <color theme="1"/>
        <rFont val="Calibri"/>
        <family val="2"/>
        <scheme val="minor"/>
      </rPr>
      <t>Supporting data validation</t>
    </r>
  </si>
  <si>
    <r>
      <t xml:space="preserve">6. </t>
    </r>
    <r>
      <rPr>
        <b/>
        <sz val="11"/>
        <color theme="1"/>
        <rFont val="Calibri"/>
        <family val="2"/>
        <scheme val="minor"/>
      </rPr>
      <t>Improving reporting accuracy</t>
    </r>
  </si>
  <si>
    <t>Ensures reports always reflect the current date</t>
  </si>
  <si>
    <t>Useful for dashboards and automated reports</t>
  </si>
  <si>
    <t>Q5.</t>
  </si>
  <si>
    <t>Apply Data Validation to restrict Quantity values to only whole numbers between 1 and 10.</t>
  </si>
  <si>
    <t xml:space="preserve">a.  	Configure an input message that appears when a user selects a cell in the "Quantity" column explaining:_x000B_ "Please enter a whole number between 1 and 10." </t>
  </si>
  <si>
    <t>b.  	Set up an error alert message that triggers if the user enters a number less than 1 or greater than 10, showing:_x000B_ "Invalid input! The quantity must be a whole number between 1 and 10."</t>
  </si>
  <si>
    <t>Write a step-by-step approach for this question</t>
  </si>
  <si>
    <t xml:space="preserve">Customer Name </t>
  </si>
  <si>
    <t>Product Name</t>
  </si>
  <si>
    <t>Category</t>
  </si>
  <si>
    <t>Quantity</t>
  </si>
  <si>
    <t>Unit Price($)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</si>
  <si>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</si>
  <si>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</si>
  <si>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</si>
  <si>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</si>
  <si>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</si>
  <si>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</si>
  <si>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</si>
  <si>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</si>
  <si>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</si>
  <si>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</si>
  <si>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</si>
  <si>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Décor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</si>
  <si>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</si>
  <si>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</si>
  <si>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</si>
  <si>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</si>
  <si>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</si>
  <si>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</si>
  <si>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</si>
  <si>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Step1</t>
  </si>
  <si>
    <t>1.Select the cells under the Quantity column where you want to apply validation.</t>
  </si>
  <si>
    <t>2.Go to the Data tab on the Ribbon.</t>
  </si>
  <si>
    <t>3.Click Data Validation → Data Validation…</t>
  </si>
  <si>
    <t>4.In the Settings tab:</t>
  </si>
  <si>
    <t>Set Allow to Whole number.</t>
  </si>
  <si>
    <t>Set Data to between.</t>
  </si>
  <si>
    <t>Enter Minimum = 1 and Maximum = 10.</t>
  </si>
  <si>
    <t>5.In the Input Message tab:</t>
  </si>
  <si>
    <t>Check Show input message when cell is selected.</t>
  </si>
  <si>
    <t>Title: “Invalid input!”</t>
  </si>
  <si>
    <t>Error message: “The quantity must be a whole number between 1 and 10.”</t>
  </si>
  <si>
    <t>Enter the message: “Please enter a whole number between 1 and 10.”</t>
  </si>
  <si>
    <t>6.In the Error Alert tab:</t>
  </si>
  <si>
    <t>Set Style to Stop.</t>
  </si>
  <si>
    <t>7.Click OK to apply the settings.</t>
  </si>
  <si>
    <t>8.Test the rule by trying to enter values below 1 or above 10.</t>
  </si>
  <si>
    <t>Q6</t>
  </si>
  <si>
    <t>Understand and apply fundamental text functions like LEFT, RIGHT, MID, and LEN.</t>
  </si>
  <si>
    <t>Extract the first 5 characters from the string "ExcelTipsAreGreat" using the LEFT function.</t>
  </si>
  <si>
    <t>Extract the last 4 characters from "DataAnalysis.xlsx" using the RIGHT function.</t>
  </si>
  <si>
    <t>Extract the substring "Tips" from "ExcelTipsAreGreat" using the MID function.</t>
  </si>
  <si>
    <t>Count the total number of characters in the string "Hello World!" using the LEN function.</t>
  </si>
  <si>
    <t>Create a formula to extract the middle 6 characters from "12345-67890-ABCDE".</t>
  </si>
  <si>
    <t>ExcelTipsAreGrea</t>
  </si>
  <si>
    <t>String</t>
  </si>
  <si>
    <t>Function used</t>
  </si>
  <si>
    <t>DataAnalysis.xlsx</t>
  </si>
  <si>
    <t>ExcelTipsAreGreat</t>
  </si>
  <si>
    <t>Hello World!</t>
  </si>
  <si>
    <t>12345-67890-ABCDE</t>
  </si>
  <si>
    <t>Q7</t>
  </si>
  <si>
    <t>Understand how to combine text using CONCAT, TEXTJOIN, and the &amp; operator.</t>
  </si>
  <si>
    <t>a. Use CONCAT to combine "Hello" and "World" with a space in between.</t>
  </si>
  <si>
    <t>b. Combine "Apple", "Banana", and "Cherry" into a single string separated by commas using TEXTJOIN.</t>
  </si>
  <si>
    <t>c. Use the &amp; operator to create the string "2025: Excel Functions" by combining "2025", ": ", and "Excel Functions".</t>
  </si>
  <si>
    <t>d. Create a comma-separated list from the range A1:A5 using TEXTJOIN</t>
  </si>
  <si>
    <t>e. Combine first names in column A with last names in column B to create full names in column C</t>
  </si>
  <si>
    <t>Hello</t>
  </si>
  <si>
    <t>World</t>
  </si>
  <si>
    <t>Apple</t>
  </si>
  <si>
    <t xml:space="preserve">Banana </t>
  </si>
  <si>
    <t>Cherry</t>
  </si>
  <si>
    <t>Excel Functions</t>
  </si>
  <si>
    <t>Mango</t>
  </si>
  <si>
    <t xml:space="preserve">Apple </t>
  </si>
  <si>
    <t>Banana</t>
  </si>
  <si>
    <t>Jackfruit</t>
  </si>
  <si>
    <t>Kiwi</t>
  </si>
  <si>
    <t>A</t>
  </si>
  <si>
    <t>B</t>
  </si>
  <si>
    <t>C</t>
  </si>
  <si>
    <t>Ritik</t>
  </si>
  <si>
    <t>Rishabh</t>
  </si>
  <si>
    <t>Sharma</t>
  </si>
  <si>
    <t>Harnoor</t>
  </si>
  <si>
    <t>Gandhi</t>
  </si>
  <si>
    <t>Skandh</t>
  </si>
  <si>
    <t>Jain</t>
  </si>
  <si>
    <t>Q8</t>
  </si>
  <si>
    <t>Understanding TODAY() and NOW()</t>
  </si>
  <si>
    <t>b. If cell A1 contains the date 2025-06-10, write a formula using TODAY() to determine how many days are left until</t>
  </si>
  <si>
    <t>c. Write an Excel formula using NOW() to display the current date and time in the format MM/DD/YYYY HH:MM AM/PM</t>
  </si>
  <si>
    <t>d. If a cell contains =TODAY(), what will happen when the worksheet is reopened the next day? Explain</t>
  </si>
  <si>
    <t>e. You want to store a static date (today’s date) in a cell without it changing every day. What keyboard shortcut</t>
  </si>
  <si>
    <t>a. What is the difference between TODAY() and NOW() in Excel? Provide an example of when you would use_x000B_ each function</t>
  </si>
  <si>
    <t>ANS</t>
  </si>
  <si>
    <r>
      <t xml:space="preserve">In Excel, </t>
    </r>
    <r>
      <rPr>
        <b/>
        <sz val="11"/>
        <color theme="1"/>
        <rFont val="Calibri"/>
        <family val="2"/>
        <scheme val="minor"/>
      </rPr>
      <t>TODAY()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NOW()</t>
    </r>
    <r>
      <rPr>
        <sz val="11"/>
        <color theme="1"/>
        <rFont val="Calibri"/>
        <family val="2"/>
        <scheme val="minor"/>
      </rPr>
      <t xml:space="preserve"> are date and time functions used to display the current date and time.</t>
    </r>
  </si>
  <si>
    <r>
      <t>TODAY()</t>
    </r>
    <r>
      <rPr>
        <sz val="11"/>
        <color theme="1"/>
        <rFont val="Calibri"/>
        <family val="2"/>
        <scheme val="minor"/>
      </rPr>
      <t xml:space="preserve"> returns only the </t>
    </r>
    <r>
      <rPr>
        <b/>
        <sz val="11"/>
        <color theme="1"/>
        <rFont val="Calibri"/>
        <family val="2"/>
        <scheme val="minor"/>
      </rPr>
      <t>current date</t>
    </r>
    <r>
      <rPr>
        <sz val="11"/>
        <color theme="1"/>
        <rFont val="Calibri"/>
        <family val="2"/>
        <scheme val="minor"/>
      </rPr>
      <t>.</t>
    </r>
  </si>
  <si>
    <r>
      <t>NOW()</t>
    </r>
    <r>
      <rPr>
        <sz val="11"/>
        <color theme="1"/>
        <rFont val="Calibri"/>
        <family val="2"/>
        <scheme val="minor"/>
      </rPr>
      <t xml:space="preserve"> returns the </t>
    </r>
    <r>
      <rPr>
        <b/>
        <sz val="11"/>
        <color theme="1"/>
        <rFont val="Calibri"/>
        <family val="2"/>
        <scheme val="minor"/>
      </rPr>
      <t>current date and current time</t>
    </r>
    <r>
      <rPr>
        <sz val="11"/>
        <color theme="1"/>
        <rFont val="Calibri"/>
        <family val="2"/>
        <scheme val="minor"/>
      </rPr>
      <t>.</t>
    </r>
  </si>
  <si>
    <r>
      <t xml:space="preserve">Use of </t>
    </r>
    <r>
      <rPr>
        <b/>
        <sz val="14"/>
        <color theme="1"/>
        <rFont val="Calibri"/>
        <family val="2"/>
        <scheme val="minor"/>
      </rPr>
      <t>TODAY()</t>
    </r>
    <r>
      <rPr>
        <sz val="14"/>
        <color theme="1"/>
        <rFont val="Calibri"/>
        <family val="2"/>
        <scheme val="minor"/>
      </rPr>
      <t xml:space="preserve"> with example</t>
    </r>
  </si>
  <si>
    <t>The TODAY() function is used when only the present date is required and the time is not important.</t>
  </si>
  <si>
    <t xml:space="preserve">Example- </t>
  </si>
  <si>
    <t>TODAY() can be used to find how many days have passed since a certain date, such as calculating age, checking deadlines, or tracking due dates.</t>
  </si>
  <si>
    <t>Use of NOW()</t>
  </si>
  <si>
    <r>
      <t xml:space="preserve">The </t>
    </r>
    <r>
      <rPr>
        <b/>
        <sz val="11"/>
        <color theme="1"/>
        <rFont val="Calibri"/>
        <family val="2"/>
        <scheme val="minor"/>
      </rPr>
      <t>NOW()</t>
    </r>
    <r>
      <rPr>
        <sz val="11"/>
        <color theme="1"/>
        <rFont val="Calibri"/>
        <family val="2"/>
        <scheme val="minor"/>
      </rPr>
      <t xml:space="preserve"> function is used when both the current date and exact time are required.</t>
    </r>
  </si>
  <si>
    <t>Use cases</t>
  </si>
  <si>
    <t>*  Login / timestamp tracking</t>
  </si>
  <si>
    <t>*  Elapsed time calculation</t>
  </si>
  <si>
    <t>*  Deadline with time</t>
  </si>
  <si>
    <t>* sales report</t>
  </si>
  <si>
    <t>b. If cell A1 contains the date 2025-06-10, write a formula using TODAY() to determine how many days are left until that date</t>
  </si>
  <si>
    <t>When a cell in a spreadsheet contains the formula =TODAY(), the displayed value will automatically update to reflect the current date each time the workbook is opened or recalculated.</t>
  </si>
  <si>
    <t>e. You want to store a static date (today’s date) in a cell without it changing every day. What keyboard shortcut  should you use?</t>
  </si>
  <si>
    <t>To store a static, non-updating date (today's date) in an Excel cell, use the shortcut Ctrl + ; (semicolon)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</si>
</sst>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F800]dddd\,\ mmmm\ dd\,\ yyyy"/>
    <numFmt numFmtId="170" formatCode="dd/mm/yyyy\ hh:mm\ AM/PM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/>
    <xf numFmtId="0" fontId="7" fillId="0" borderId="0" xfId="0" applyFont="1" applyAlignment="1">
      <alignment horizontal="left" indent="3"/>
    </xf>
    <xf numFmtId="0" fontId="5" fillId="0" borderId="0" xfId="0" applyFont="1"/>
    <xf numFmtId="0" fontId="0" fillId="3" borderId="5" xfId="0" applyFill="1" applyBorder="1"/>
    <xf numFmtId="0" fontId="6" fillId="0" borderId="0" xfId="0" applyFont="1" applyAlignment="1">
      <alignment vertical="center"/>
    </xf>
    <xf numFmtId="0" fontId="0" fillId="3" borderId="5" xfId="0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4"/>
    </xf>
    <xf numFmtId="0" fontId="0" fillId="0" borderId="0" xfId="0" applyAlignment="1"/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4" borderId="0" xfId="0" applyFont="1" applyFill="1"/>
    <xf numFmtId="0" fontId="0" fillId="0" borderId="11" xfId="0" applyBorder="1"/>
    <xf numFmtId="0" fontId="6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3" fillId="2" borderId="0" xfId="0" applyFont="1" applyFill="1"/>
    <xf numFmtId="0" fontId="6" fillId="0" borderId="5" xfId="0" applyFont="1" applyBorder="1"/>
    <xf numFmtId="0" fontId="6" fillId="5" borderId="0" xfId="0" applyFont="1" applyFill="1"/>
    <xf numFmtId="0" fontId="0" fillId="5" borderId="0" xfId="0" applyFill="1"/>
    <xf numFmtId="0" fontId="6" fillId="0" borderId="5" xfId="0" applyFont="1" applyBorder="1" applyAlignment="1">
      <alignment horizont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1" fillId="2" borderId="0" xfId="0" applyFont="1" applyFill="1"/>
    <xf numFmtId="0" fontId="4" fillId="2" borderId="0" xfId="0" applyFont="1" applyFill="1"/>
    <xf numFmtId="14" fontId="0" fillId="0" borderId="0" xfId="0" applyNumberFormat="1"/>
    <xf numFmtId="0" fontId="11" fillId="0" borderId="0" xfId="0" applyFont="1"/>
    <xf numFmtId="169" fontId="11" fillId="7" borderId="0" xfId="0" applyNumberFormat="1" applyFont="1" applyFill="1"/>
    <xf numFmtId="0" fontId="12" fillId="0" borderId="0" xfId="0" applyFont="1" applyAlignment="1">
      <alignment vertical="center"/>
    </xf>
    <xf numFmtId="22" fontId="11" fillId="7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70" fontId="0" fillId="7" borderId="0" xfId="0" applyNumberFormat="1" applyFill="1"/>
    <xf numFmtId="0" fontId="6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1E79-B9E6-4EE6-82A1-7291C528445D}">
  <dimension ref="A2:H48"/>
  <sheetViews>
    <sheetView tabSelected="1" workbookViewId="0">
      <selection activeCell="M54" sqref="M54"/>
    </sheetView>
  </sheetViews>
  <sheetFormatPr defaultRowHeight="14.5" x14ac:dyDescent="0.35"/>
  <sheetData>
    <row r="2" spans="1:8" ht="26" x14ac:dyDescent="0.35">
      <c r="H2" s="3" t="s">
        <v>0</v>
      </c>
    </row>
    <row r="4" spans="1:8" x14ac:dyDescent="0.35">
      <c r="A4" s="14" t="s">
        <v>1</v>
      </c>
      <c r="B4" t="s">
        <v>2</v>
      </c>
    </row>
    <row r="5" spans="1:8" x14ac:dyDescent="0.35">
      <c r="B5" t="s">
        <v>3</v>
      </c>
    </row>
    <row r="6" spans="1:8" x14ac:dyDescent="0.35">
      <c r="B6" t="s">
        <v>4</v>
      </c>
    </row>
    <row r="8" spans="1:8" x14ac:dyDescent="0.35">
      <c r="A8" s="14" t="s">
        <v>5</v>
      </c>
      <c r="B8" s="4" t="s">
        <v>6</v>
      </c>
    </row>
    <row r="9" spans="1:8" x14ac:dyDescent="0.35">
      <c r="B9" t="s">
        <v>7</v>
      </c>
    </row>
    <row r="11" spans="1:8" x14ac:dyDescent="0.35">
      <c r="B11" s="6" t="s">
        <v>8</v>
      </c>
      <c r="C11" t="s">
        <v>9</v>
      </c>
    </row>
    <row r="12" spans="1:8" x14ac:dyDescent="0.35">
      <c r="B12" s="6" t="s">
        <v>8</v>
      </c>
      <c r="C12" t="s">
        <v>10</v>
      </c>
    </row>
    <row r="13" spans="1:8" x14ac:dyDescent="0.35">
      <c r="B13" s="6" t="s">
        <v>8</v>
      </c>
      <c r="C13" t="s">
        <v>11</v>
      </c>
    </row>
    <row r="14" spans="1:8" x14ac:dyDescent="0.35">
      <c r="B14" s="6" t="s">
        <v>8</v>
      </c>
      <c r="C14" s="7" t="s">
        <v>12</v>
      </c>
    </row>
    <row r="15" spans="1:8" x14ac:dyDescent="0.35">
      <c r="B15" s="6"/>
    </row>
    <row r="16" spans="1:8" ht="21" x14ac:dyDescent="0.5">
      <c r="B16" s="9" t="s">
        <v>13</v>
      </c>
    </row>
    <row r="18" spans="2:4" x14ac:dyDescent="0.35">
      <c r="B18" s="6" t="s">
        <v>8</v>
      </c>
      <c r="C18" s="4" t="s">
        <v>14</v>
      </c>
    </row>
    <row r="19" spans="2:4" x14ac:dyDescent="0.35">
      <c r="B19" s="6" t="s">
        <v>8</v>
      </c>
      <c r="C19" s="4" t="s">
        <v>15</v>
      </c>
    </row>
    <row r="20" spans="2:4" x14ac:dyDescent="0.35">
      <c r="B20" s="6" t="s">
        <v>8</v>
      </c>
      <c r="C20" s="4" t="s">
        <v>16</v>
      </c>
    </row>
    <row r="21" spans="2:4" x14ac:dyDescent="0.35">
      <c r="B21" s="6" t="s">
        <v>8</v>
      </c>
      <c r="C21" s="4" t="s">
        <v>17</v>
      </c>
    </row>
    <row r="22" spans="2:4" x14ac:dyDescent="0.35">
      <c r="B22" s="6" t="s">
        <v>8</v>
      </c>
      <c r="C22" s="10" t="s">
        <v>18</v>
      </c>
    </row>
    <row r="25" spans="2:4" ht="21" x14ac:dyDescent="0.5">
      <c r="B25" s="9" t="s">
        <v>19</v>
      </c>
    </row>
    <row r="27" spans="2:4" x14ac:dyDescent="0.35">
      <c r="B27" s="12">
        <v>1</v>
      </c>
      <c r="C27" s="4" t="s">
        <v>20</v>
      </c>
    </row>
    <row r="28" spans="2:4" x14ac:dyDescent="0.35">
      <c r="B28" s="11"/>
      <c r="C28" s="6" t="s">
        <v>8</v>
      </c>
      <c r="D28" t="s">
        <v>21</v>
      </c>
    </row>
    <row r="29" spans="2:4" x14ac:dyDescent="0.35">
      <c r="C29" s="6" t="s">
        <v>8</v>
      </c>
      <c r="D29" s="7" t="s">
        <v>22</v>
      </c>
    </row>
    <row r="31" spans="2:4" x14ac:dyDescent="0.35">
      <c r="B31" s="13">
        <v>2</v>
      </c>
      <c r="C31" s="4" t="s">
        <v>23</v>
      </c>
    </row>
    <row r="32" spans="2:4" x14ac:dyDescent="0.35">
      <c r="C32" s="6" t="s">
        <v>8</v>
      </c>
      <c r="D32" t="s">
        <v>24</v>
      </c>
    </row>
    <row r="33" spans="2:4" x14ac:dyDescent="0.35">
      <c r="C33" s="6" t="s">
        <v>8</v>
      </c>
      <c r="D33" t="s">
        <v>25</v>
      </c>
    </row>
    <row r="34" spans="2:4" x14ac:dyDescent="0.35">
      <c r="C34" s="6" t="s">
        <v>8</v>
      </c>
      <c r="D34" s="7" t="s">
        <v>26</v>
      </c>
    </row>
    <row r="36" spans="2:4" x14ac:dyDescent="0.35">
      <c r="B36" s="13">
        <v>3</v>
      </c>
      <c r="C36" s="4" t="s">
        <v>27</v>
      </c>
    </row>
    <row r="37" spans="2:4" x14ac:dyDescent="0.35">
      <c r="C37" s="6" t="s">
        <v>8</v>
      </c>
      <c r="D37" s="7" t="s">
        <v>28</v>
      </c>
    </row>
    <row r="39" spans="2:4" x14ac:dyDescent="0.35">
      <c r="B39" s="13">
        <v>4</v>
      </c>
      <c r="C39" s="4" t="s">
        <v>29</v>
      </c>
    </row>
    <row r="40" spans="2:4" x14ac:dyDescent="0.35">
      <c r="C40" s="6" t="s">
        <v>8</v>
      </c>
      <c r="D40" t="s">
        <v>30</v>
      </c>
    </row>
    <row r="41" spans="2:4" x14ac:dyDescent="0.35">
      <c r="C41" s="6" t="s">
        <v>8</v>
      </c>
      <c r="D41" s="7" t="s">
        <v>31</v>
      </c>
    </row>
    <row r="43" spans="2:4" x14ac:dyDescent="0.35">
      <c r="B43" s="13">
        <v>5</v>
      </c>
      <c r="C43" s="4" t="s">
        <v>32</v>
      </c>
    </row>
    <row r="44" spans="2:4" x14ac:dyDescent="0.35">
      <c r="C44" s="6" t="s">
        <v>8</v>
      </c>
      <c r="D44" t="s">
        <v>33</v>
      </c>
    </row>
    <row r="45" spans="2:4" x14ac:dyDescent="0.35">
      <c r="C45" s="6"/>
    </row>
    <row r="46" spans="2:4" x14ac:dyDescent="0.35">
      <c r="B46" s="13">
        <v>6</v>
      </c>
      <c r="C46" s="4" t="s">
        <v>34</v>
      </c>
    </row>
    <row r="47" spans="2:4" x14ac:dyDescent="0.35">
      <c r="C47" s="6" t="s">
        <v>8</v>
      </c>
      <c r="D47" t="s">
        <v>35</v>
      </c>
    </row>
    <row r="48" spans="2:4" x14ac:dyDescent="0.35">
      <c r="C48" s="6" t="s">
        <v>8</v>
      </c>
      <c r="D48" s="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5D8C-A2E0-460D-A621-7801962EF6A7}">
  <dimension ref="A2:Q28"/>
  <sheetViews>
    <sheetView topLeftCell="A11" workbookViewId="0">
      <selection activeCell="C4" sqref="C4"/>
    </sheetView>
  </sheetViews>
  <sheetFormatPr defaultRowHeight="14.5" x14ac:dyDescent="0.35"/>
  <cols>
    <col min="3" max="3" width="9.81640625" bestFit="1" customWidth="1"/>
    <col min="4" max="5" width="12.36328125" bestFit="1" customWidth="1"/>
    <col min="13" max="13" width="9.81640625" bestFit="1" customWidth="1"/>
    <col min="14" max="14" width="12.36328125" bestFit="1" customWidth="1"/>
    <col min="15" max="15" width="9.81640625" bestFit="1" customWidth="1"/>
    <col min="16" max="16" width="12.36328125" bestFit="1" customWidth="1"/>
  </cols>
  <sheetData>
    <row r="2" spans="1:17" x14ac:dyDescent="0.35">
      <c r="A2" s="14" t="s">
        <v>37</v>
      </c>
      <c r="B2" t="s">
        <v>38</v>
      </c>
    </row>
    <row r="3" spans="1:17" ht="15" thickBot="1" x14ac:dyDescent="0.4"/>
    <row r="4" spans="1:17" ht="15.5" x14ac:dyDescent="0.35">
      <c r="C4" s="15" t="s">
        <v>39</v>
      </c>
      <c r="D4" s="16" t="s">
        <v>40</v>
      </c>
      <c r="E4" s="17" t="s">
        <v>41</v>
      </c>
    </row>
    <row r="5" spans="1:17" ht="15.5" x14ac:dyDescent="0.35">
      <c r="C5" s="18" t="s">
        <v>42</v>
      </c>
      <c r="D5" s="19" t="s">
        <v>43</v>
      </c>
      <c r="E5" s="20">
        <v>4000</v>
      </c>
    </row>
    <row r="6" spans="1:17" ht="15.5" x14ac:dyDescent="0.35">
      <c r="C6" s="18" t="s">
        <v>44</v>
      </c>
      <c r="D6" s="19" t="s">
        <v>45</v>
      </c>
      <c r="E6" s="20">
        <v>5000</v>
      </c>
    </row>
    <row r="7" spans="1:17" ht="16" thickBot="1" x14ac:dyDescent="0.4">
      <c r="C7" s="21" t="s">
        <v>46</v>
      </c>
      <c r="D7" s="22" t="s">
        <v>43</v>
      </c>
      <c r="E7" s="23">
        <v>2500</v>
      </c>
    </row>
    <row r="10" spans="1:17" ht="28.5" x14ac:dyDescent="0.65">
      <c r="A10" s="14" t="s">
        <v>5</v>
      </c>
      <c r="B10" s="26"/>
      <c r="C10" s="25" t="s">
        <v>47</v>
      </c>
    </row>
    <row r="12" spans="1:17" ht="15" thickBot="1" x14ac:dyDescent="0.4">
      <c r="B12" t="s">
        <v>48</v>
      </c>
      <c r="C12" t="s">
        <v>52</v>
      </c>
    </row>
    <row r="13" spans="1:17" ht="15.5" x14ac:dyDescent="0.35">
      <c r="B13" t="s">
        <v>49</v>
      </c>
      <c r="C13" t="s">
        <v>53</v>
      </c>
      <c r="O13" s="15" t="s">
        <v>39</v>
      </c>
      <c r="P13" s="16" t="s">
        <v>40</v>
      </c>
      <c r="Q13" s="17" t="s">
        <v>41</v>
      </c>
    </row>
    <row r="14" spans="1:17" ht="15.5" x14ac:dyDescent="0.35">
      <c r="B14" t="s">
        <v>50</v>
      </c>
      <c r="C14" t="s">
        <v>54</v>
      </c>
      <c r="O14" s="18" t="s">
        <v>44</v>
      </c>
      <c r="P14" s="19" t="s">
        <v>45</v>
      </c>
      <c r="Q14" s="20">
        <v>5000</v>
      </c>
    </row>
    <row r="15" spans="1:17" ht="15.5" x14ac:dyDescent="0.35">
      <c r="B15" t="s">
        <v>51</v>
      </c>
      <c r="C15" t="s">
        <v>55</v>
      </c>
      <c r="O15" s="18" t="s">
        <v>42</v>
      </c>
      <c r="P15" s="19" t="s">
        <v>43</v>
      </c>
      <c r="Q15" s="20">
        <v>4000</v>
      </c>
    </row>
    <row r="16" spans="1:17" ht="16" thickBot="1" x14ac:dyDescent="0.4">
      <c r="B16" t="s">
        <v>56</v>
      </c>
      <c r="C16" t="s">
        <v>57</v>
      </c>
      <c r="O16" s="21" t="s">
        <v>46</v>
      </c>
      <c r="P16" s="22" t="s">
        <v>43</v>
      </c>
      <c r="Q16" s="23">
        <v>2500</v>
      </c>
    </row>
    <row r="19" spans="2:15" ht="18.5" x14ac:dyDescent="0.45">
      <c r="B19" s="28" t="s">
        <v>58</v>
      </c>
    </row>
    <row r="20" spans="2:15" ht="15" thickBot="1" x14ac:dyDescent="0.4">
      <c r="B20" s="1"/>
    </row>
    <row r="21" spans="2:15" ht="15.5" x14ac:dyDescent="0.35">
      <c r="B21" t="s">
        <v>48</v>
      </c>
      <c r="C21" t="s">
        <v>52</v>
      </c>
      <c r="M21" s="15" t="s">
        <v>39</v>
      </c>
      <c r="N21" s="16" t="s">
        <v>40</v>
      </c>
      <c r="O21" s="17" t="s">
        <v>41</v>
      </c>
    </row>
    <row r="22" spans="2:15" ht="15.5" x14ac:dyDescent="0.35">
      <c r="B22" t="s">
        <v>49</v>
      </c>
      <c r="C22" t="s">
        <v>53</v>
      </c>
      <c r="M22" s="18" t="s">
        <v>44</v>
      </c>
      <c r="N22" s="19" t="s">
        <v>45</v>
      </c>
      <c r="O22" s="20">
        <v>5000</v>
      </c>
    </row>
    <row r="23" spans="2:15" ht="15.5" x14ac:dyDescent="0.35">
      <c r="B23" t="s">
        <v>50</v>
      </c>
      <c r="C23" t="s">
        <v>54</v>
      </c>
      <c r="M23" s="18" t="s">
        <v>42</v>
      </c>
      <c r="N23" s="19" t="s">
        <v>43</v>
      </c>
      <c r="O23" s="20">
        <v>4000</v>
      </c>
    </row>
    <row r="24" spans="2:15" ht="16" thickBot="1" x14ac:dyDescent="0.4">
      <c r="B24" t="s">
        <v>51</v>
      </c>
      <c r="C24" t="s">
        <v>55</v>
      </c>
      <c r="M24" s="21" t="s">
        <v>46</v>
      </c>
      <c r="N24" s="22" t="s">
        <v>43</v>
      </c>
      <c r="O24" s="23">
        <v>2500</v>
      </c>
    </row>
    <row r="25" spans="2:15" x14ac:dyDescent="0.35">
      <c r="B25" t="s">
        <v>56</v>
      </c>
      <c r="C25" t="s">
        <v>59</v>
      </c>
    </row>
    <row r="28" spans="2:15" ht="21" x14ac:dyDescent="0.5">
      <c r="B28" s="8"/>
    </row>
  </sheetData>
  <sortState xmlns:xlrd2="http://schemas.microsoft.com/office/spreadsheetml/2017/richdata2" ref="M22:O24">
    <sortCondition descending="1" ref="O22:O24"/>
  </sortState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0357-340C-45E8-B6DE-E7D5D54D37BC}">
  <dimension ref="A2:H58"/>
  <sheetViews>
    <sheetView topLeftCell="A45" zoomScaleNormal="100" workbookViewId="0">
      <selection activeCell="F64" sqref="F64"/>
    </sheetView>
  </sheetViews>
  <sheetFormatPr defaultRowHeight="14.5" x14ac:dyDescent="0.35"/>
  <cols>
    <col min="4" max="4" width="21.81640625" customWidth="1"/>
    <col min="5" max="5" width="16.1796875" bestFit="1" customWidth="1"/>
    <col min="6" max="6" width="17.54296875" bestFit="1" customWidth="1"/>
  </cols>
  <sheetData>
    <row r="2" spans="1:5" x14ac:dyDescent="0.35">
      <c r="A2" s="14" t="s">
        <v>60</v>
      </c>
      <c r="B2" t="s">
        <v>61</v>
      </c>
    </row>
    <row r="5" spans="1:5" ht="15.5" x14ac:dyDescent="0.35">
      <c r="A5" s="14" t="s">
        <v>62</v>
      </c>
      <c r="B5" s="24" t="s">
        <v>63</v>
      </c>
    </row>
    <row r="7" spans="1:5" ht="21" x14ac:dyDescent="0.5">
      <c r="B7" s="13">
        <v>1</v>
      </c>
      <c r="C7" s="9" t="s">
        <v>64</v>
      </c>
    </row>
    <row r="8" spans="1:5" ht="15.5" x14ac:dyDescent="0.35">
      <c r="C8" s="29" t="s">
        <v>65</v>
      </c>
    </row>
    <row r="9" spans="1:5" ht="15.5" x14ac:dyDescent="0.35">
      <c r="D9" s="31" t="s">
        <v>66</v>
      </c>
    </row>
    <row r="12" spans="1:5" ht="15.5" x14ac:dyDescent="0.35">
      <c r="D12" s="35" t="s">
        <v>67</v>
      </c>
      <c r="E12" s="35" t="s">
        <v>68</v>
      </c>
    </row>
    <row r="13" spans="1:5" x14ac:dyDescent="0.35">
      <c r="D13" s="32" t="s">
        <v>69</v>
      </c>
      <c r="E13" s="30" t="str">
        <f>TRIM(D13)</f>
        <v>Satyajit chaudhary</v>
      </c>
    </row>
    <row r="14" spans="1:5" ht="15.5" x14ac:dyDescent="0.35">
      <c r="D14" s="19" t="s">
        <v>70</v>
      </c>
      <c r="E14" s="19" t="str">
        <f>TRIM(D14)</f>
        <v>Ramesh Sharma</v>
      </c>
    </row>
    <row r="17" spans="2:8" ht="21" x14ac:dyDescent="0.5">
      <c r="B17" s="13">
        <v>2</v>
      </c>
      <c r="C17" s="9" t="s">
        <v>71</v>
      </c>
    </row>
    <row r="18" spans="2:8" x14ac:dyDescent="0.35">
      <c r="C18" s="4" t="s">
        <v>72</v>
      </c>
    </row>
    <row r="19" spans="2:8" ht="15.5" x14ac:dyDescent="0.35">
      <c r="D19" s="31" t="s">
        <v>73</v>
      </c>
    </row>
    <row r="20" spans="2:8" x14ac:dyDescent="0.35">
      <c r="D20" t="s">
        <v>74</v>
      </c>
    </row>
    <row r="23" spans="2:8" ht="15.5" x14ac:dyDescent="0.35">
      <c r="D23" s="35" t="s">
        <v>75</v>
      </c>
      <c r="E23" s="35" t="s">
        <v>76</v>
      </c>
    </row>
    <row r="24" spans="2:8" x14ac:dyDescent="0.35">
      <c r="D24" s="32" t="s">
        <v>69</v>
      </c>
      <c r="E24" s="32" t="str">
        <f>LEFT(D24,7)</f>
        <v>Satyaji</v>
      </c>
      <c r="H24" t="s">
        <v>77</v>
      </c>
    </row>
    <row r="25" spans="2:8" ht="15.5" x14ac:dyDescent="0.35">
      <c r="D25" s="19" t="s">
        <v>70</v>
      </c>
      <c r="E25" s="19" t="str">
        <f>LEFT(D25,7)</f>
        <v xml:space="preserve">Ramesh </v>
      </c>
    </row>
    <row r="28" spans="2:8" ht="18.5" x14ac:dyDescent="0.45">
      <c r="B28" s="2">
        <v>3</v>
      </c>
      <c r="C28" s="33" t="s">
        <v>78</v>
      </c>
    </row>
    <row r="29" spans="2:8" x14ac:dyDescent="0.35">
      <c r="C29" t="s">
        <v>79</v>
      </c>
    </row>
    <row r="30" spans="2:8" x14ac:dyDescent="0.35">
      <c r="D30" t="s">
        <v>80</v>
      </c>
    </row>
    <row r="31" spans="2:8" x14ac:dyDescent="0.35">
      <c r="D31" t="s">
        <v>81</v>
      </c>
    </row>
    <row r="33" spans="2:8" x14ac:dyDescent="0.35">
      <c r="B33" s="4"/>
    </row>
    <row r="34" spans="2:8" ht="15.5" x14ac:dyDescent="0.35">
      <c r="D34" s="35" t="s">
        <v>82</v>
      </c>
      <c r="E34" s="35" t="s">
        <v>83</v>
      </c>
    </row>
    <row r="35" spans="2:8" x14ac:dyDescent="0.35">
      <c r="D35" s="32" t="s">
        <v>69</v>
      </c>
      <c r="E35" s="32" t="str">
        <f>RIGHT(D35,7)</f>
        <v>audhary</v>
      </c>
      <c r="H35" t="s">
        <v>77</v>
      </c>
    </row>
    <row r="36" spans="2:8" ht="15.5" x14ac:dyDescent="0.35">
      <c r="D36" s="19" t="s">
        <v>70</v>
      </c>
      <c r="E36" s="19" t="str">
        <f>RIGHT(D36,7)</f>
        <v xml:space="preserve"> Sharma</v>
      </c>
    </row>
    <row r="39" spans="2:8" ht="18.5" x14ac:dyDescent="0.45">
      <c r="B39" s="13">
        <v>4</v>
      </c>
      <c r="C39" s="34" t="s">
        <v>84</v>
      </c>
    </row>
    <row r="40" spans="2:8" x14ac:dyDescent="0.35">
      <c r="C40" s="4" t="s">
        <v>85</v>
      </c>
    </row>
    <row r="41" spans="2:8" ht="15.5" x14ac:dyDescent="0.35">
      <c r="D41" s="31" t="s">
        <v>86</v>
      </c>
    </row>
    <row r="42" spans="2:8" ht="15.5" x14ac:dyDescent="0.35">
      <c r="D42" s="31" t="s">
        <v>87</v>
      </c>
    </row>
    <row r="45" spans="2:8" ht="15.5" x14ac:dyDescent="0.35">
      <c r="D45" s="35" t="s">
        <v>88</v>
      </c>
      <c r="E45" s="35" t="s">
        <v>89</v>
      </c>
    </row>
    <row r="46" spans="2:8" x14ac:dyDescent="0.35">
      <c r="D46" s="32" t="s">
        <v>69</v>
      </c>
      <c r="E46" s="32" t="str">
        <f>MID(D46,4,3)</f>
        <v>yaj</v>
      </c>
    </row>
    <row r="47" spans="2:8" ht="15.5" x14ac:dyDescent="0.35">
      <c r="D47" s="19" t="s">
        <v>70</v>
      </c>
      <c r="E47" s="19" t="str">
        <f>MID(D47,4,3)</f>
        <v>esh</v>
      </c>
    </row>
    <row r="49" spans="2:6" ht="18.5" x14ac:dyDescent="0.45">
      <c r="B49" s="13">
        <v>5</v>
      </c>
      <c r="C49" s="33" t="s">
        <v>90</v>
      </c>
    </row>
    <row r="50" spans="2:6" x14ac:dyDescent="0.35">
      <c r="C50" s="4" t="s">
        <v>91</v>
      </c>
    </row>
    <row r="51" spans="2:6" ht="15.5" x14ac:dyDescent="0.35">
      <c r="C51" s="6" t="s">
        <v>8</v>
      </c>
      <c r="D51" s="31" t="s">
        <v>92</v>
      </c>
    </row>
    <row r="52" spans="2:6" x14ac:dyDescent="0.35">
      <c r="C52" s="6" t="s">
        <v>8</v>
      </c>
      <c r="D52" t="s">
        <v>93</v>
      </c>
    </row>
    <row r="53" spans="2:6" x14ac:dyDescent="0.35">
      <c r="C53" s="6" t="s">
        <v>8</v>
      </c>
      <c r="D53" s="7" t="s">
        <v>94</v>
      </c>
    </row>
    <row r="56" spans="2:6" ht="15.5" x14ac:dyDescent="0.35">
      <c r="D56" s="35" t="s">
        <v>95</v>
      </c>
      <c r="E56" s="35" t="s">
        <v>96</v>
      </c>
      <c r="F56" s="35" t="s">
        <v>97</v>
      </c>
    </row>
    <row r="57" spans="2:6" ht="15.5" x14ac:dyDescent="0.35">
      <c r="D57" s="19" t="s">
        <v>98</v>
      </c>
      <c r="E57" s="19" t="s">
        <v>99</v>
      </c>
      <c r="F57" s="19" t="str">
        <f>_xlfn.CONCAT(D57,E57)</f>
        <v>SatyajitChaudhary</v>
      </c>
    </row>
    <row r="58" spans="2:6" ht="15.5" x14ac:dyDescent="0.35">
      <c r="D58" s="19" t="s">
        <v>100</v>
      </c>
      <c r="E58" s="19" t="s">
        <v>101</v>
      </c>
      <c r="F58" s="19" t="str">
        <f>_xlfn.CONCAT(D58,E58)</f>
        <v>ShelbyRoy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9A7F-72AF-421A-8E1F-6500109A2D2C}">
  <dimension ref="A2:D40"/>
  <sheetViews>
    <sheetView topLeftCell="A37" workbookViewId="0">
      <selection activeCell="C48" sqref="C48"/>
    </sheetView>
  </sheetViews>
  <sheetFormatPr defaultRowHeight="14.5" x14ac:dyDescent="0.35"/>
  <sheetData>
    <row r="2" spans="1:4" x14ac:dyDescent="0.35">
      <c r="A2" s="14" t="s">
        <v>102</v>
      </c>
      <c r="B2" t="s">
        <v>103</v>
      </c>
    </row>
    <row r="4" spans="1:4" ht="15.5" x14ac:dyDescent="0.35">
      <c r="A4" s="14" t="s">
        <v>62</v>
      </c>
      <c r="B4" s="24" t="s">
        <v>104</v>
      </c>
    </row>
    <row r="6" spans="1:4" x14ac:dyDescent="0.35">
      <c r="B6" t="s">
        <v>105</v>
      </c>
    </row>
    <row r="9" spans="1:4" ht="21" x14ac:dyDescent="0.5">
      <c r="B9" s="9" t="s">
        <v>106</v>
      </c>
    </row>
    <row r="11" spans="1:4" ht="15.5" x14ac:dyDescent="0.35">
      <c r="B11" s="37" t="s">
        <v>107</v>
      </c>
    </row>
    <row r="12" spans="1:4" x14ac:dyDescent="0.35">
      <c r="C12" s="6" t="s">
        <v>8</v>
      </c>
      <c r="D12" t="s">
        <v>108</v>
      </c>
    </row>
    <row r="13" spans="1:4" x14ac:dyDescent="0.35">
      <c r="C13" s="6" t="s">
        <v>8</v>
      </c>
      <c r="D13" s="7" t="s">
        <v>109</v>
      </c>
    </row>
    <row r="16" spans="1:4" ht="15.5" x14ac:dyDescent="0.35">
      <c r="B16" s="37" t="s">
        <v>110</v>
      </c>
    </row>
    <row r="17" spans="2:4" ht="15.5" x14ac:dyDescent="0.35">
      <c r="B17" s="31"/>
      <c r="C17" s="6" t="s">
        <v>8</v>
      </c>
      <c r="D17" t="s">
        <v>111</v>
      </c>
    </row>
    <row r="18" spans="2:4" x14ac:dyDescent="0.35">
      <c r="C18" s="6" t="s">
        <v>8</v>
      </c>
      <c r="D18" s="7" t="s">
        <v>112</v>
      </c>
    </row>
    <row r="20" spans="2:4" x14ac:dyDescent="0.35">
      <c r="C20" t="s">
        <v>116</v>
      </c>
      <c r="D20" t="s">
        <v>113</v>
      </c>
    </row>
    <row r="21" spans="2:4" x14ac:dyDescent="0.35">
      <c r="D21" t="s">
        <v>114</v>
      </c>
    </row>
    <row r="22" spans="2:4" x14ac:dyDescent="0.35">
      <c r="D22" t="s">
        <v>115</v>
      </c>
    </row>
    <row r="24" spans="2:4" x14ac:dyDescent="0.35">
      <c r="B24" s="5" t="s">
        <v>119</v>
      </c>
    </row>
    <row r="25" spans="2:4" x14ac:dyDescent="0.35">
      <c r="B25" s="7"/>
      <c r="C25" s="6" t="s">
        <v>8</v>
      </c>
      <c r="D25" t="s">
        <v>117</v>
      </c>
    </row>
    <row r="26" spans="2:4" x14ac:dyDescent="0.35">
      <c r="B26" s="7"/>
      <c r="C26" s="6" t="s">
        <v>8</v>
      </c>
      <c r="D26" t="s">
        <v>118</v>
      </c>
    </row>
    <row r="27" spans="2:4" x14ac:dyDescent="0.35">
      <c r="B27" s="7"/>
    </row>
    <row r="28" spans="2:4" x14ac:dyDescent="0.35">
      <c r="B28" s="7"/>
    </row>
    <row r="29" spans="2:4" x14ac:dyDescent="0.35">
      <c r="B29" s="5" t="s">
        <v>120</v>
      </c>
    </row>
    <row r="30" spans="2:4" x14ac:dyDescent="0.35">
      <c r="C30" s="6" t="s">
        <v>8</v>
      </c>
      <c r="D30" t="s">
        <v>121</v>
      </c>
    </row>
    <row r="31" spans="2:4" x14ac:dyDescent="0.35">
      <c r="C31" s="6" t="s">
        <v>8</v>
      </c>
      <c r="D31" t="s">
        <v>122</v>
      </c>
    </row>
    <row r="33" spans="2:4" x14ac:dyDescent="0.35">
      <c r="B33" s="5" t="s">
        <v>125</v>
      </c>
    </row>
    <row r="34" spans="2:4" x14ac:dyDescent="0.35">
      <c r="C34" s="6" t="s">
        <v>8</v>
      </c>
      <c r="D34" t="s">
        <v>123</v>
      </c>
    </row>
    <row r="35" spans="2:4" x14ac:dyDescent="0.35">
      <c r="C35" s="6" t="s">
        <v>8</v>
      </c>
      <c r="D35" t="s">
        <v>124</v>
      </c>
    </row>
    <row r="38" spans="2:4" x14ac:dyDescent="0.35">
      <c r="B38" s="5" t="s">
        <v>126</v>
      </c>
    </row>
    <row r="39" spans="2:4" x14ac:dyDescent="0.35">
      <c r="C39" s="6" t="s">
        <v>8</v>
      </c>
      <c r="D39" t="s">
        <v>127</v>
      </c>
    </row>
    <row r="40" spans="2:4" x14ac:dyDescent="0.35">
      <c r="C40" s="6" t="s">
        <v>8</v>
      </c>
      <c r="D40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DFD7-C61E-4F9C-A0BB-066746DDC56E}">
  <dimension ref="A2:R49"/>
  <sheetViews>
    <sheetView topLeftCell="A44" workbookViewId="0">
      <selection activeCell="F64" sqref="F64"/>
    </sheetView>
  </sheetViews>
  <sheetFormatPr defaultRowHeight="14.5" x14ac:dyDescent="0.35"/>
  <cols>
    <col min="3" max="3" width="16.1796875" bestFit="1" customWidth="1"/>
    <col min="4" max="4" width="14" bestFit="1" customWidth="1"/>
    <col min="5" max="5" width="11.90625" bestFit="1" customWidth="1"/>
    <col min="7" max="7" width="12.08984375" bestFit="1" customWidth="1"/>
  </cols>
  <sheetData>
    <row r="2" spans="1:7" x14ac:dyDescent="0.35">
      <c r="A2" s="14" t="s">
        <v>129</v>
      </c>
      <c r="B2" t="s">
        <v>130</v>
      </c>
    </row>
    <row r="4" spans="1:7" x14ac:dyDescent="0.35">
      <c r="B4" t="s">
        <v>131</v>
      </c>
    </row>
    <row r="6" spans="1:7" x14ac:dyDescent="0.35">
      <c r="B6" t="s">
        <v>132</v>
      </c>
    </row>
    <row r="8" spans="1:7" x14ac:dyDescent="0.35">
      <c r="B8" t="s">
        <v>133</v>
      </c>
    </row>
    <row r="10" spans="1:7" ht="15.5" x14ac:dyDescent="0.35">
      <c r="C10" s="39" t="s">
        <v>134</v>
      </c>
      <c r="D10" s="39" t="s">
        <v>135</v>
      </c>
      <c r="E10" s="39" t="s">
        <v>136</v>
      </c>
      <c r="F10" s="39" t="s">
        <v>137</v>
      </c>
      <c r="G10" s="39" t="s">
        <v>138</v>
      </c>
    </row>
    <row r="11" spans="1:7" ht="15.5" x14ac:dyDescent="0.35">
      <c r="C11" s="40" t="s">
        <v>139</v>
      </c>
      <c r="D11" s="40" t="s">
        <v>140</v>
      </c>
      <c r="E11" s="40" t="s">
        <v>141</v>
      </c>
      <c r="F11" s="40"/>
      <c r="G11" s="40">
        <v>81</v>
      </c>
    </row>
    <row r="12" spans="1:7" ht="15.5" x14ac:dyDescent="0.35">
      <c r="C12" s="40" t="s">
        <v>142</v>
      </c>
      <c r="D12" s="40" t="s">
        <v>143</v>
      </c>
      <c r="E12" s="40" t="s">
        <v>141</v>
      </c>
      <c r="F12" s="40"/>
      <c r="G12" s="40">
        <v>121</v>
      </c>
    </row>
    <row r="13" spans="1:7" ht="15.5" x14ac:dyDescent="0.35">
      <c r="C13" s="40" t="s">
        <v>144</v>
      </c>
      <c r="D13" s="40" t="s">
        <v>145</v>
      </c>
      <c r="E13" s="40" t="s">
        <v>146</v>
      </c>
      <c r="F13" s="40"/>
      <c r="G13" s="40">
        <v>239</v>
      </c>
    </row>
    <row r="14" spans="1:7" ht="15.5" x14ac:dyDescent="0.35">
      <c r="C14" s="40" t="s">
        <v>147</v>
      </c>
      <c r="D14" s="40" t="s">
        <v>140</v>
      </c>
      <c r="E14" s="40" t="s">
        <v>141</v>
      </c>
      <c r="F14" s="40"/>
      <c r="G14" s="40">
        <v>500</v>
      </c>
    </row>
    <row r="15" spans="1:7" ht="15.5" x14ac:dyDescent="0.35">
      <c r="C15" s="40" t="s">
        <v>148</v>
      </c>
      <c r="D15" s="40" t="s">
        <v>149</v>
      </c>
      <c r="E15" s="40" t="s">
        <v>150</v>
      </c>
      <c r="F15" s="40"/>
      <c r="G15" s="40">
        <v>423</v>
      </c>
    </row>
    <row r="16" spans="1:7" ht="15.5" x14ac:dyDescent="0.35">
      <c r="C16" s="40" t="s">
        <v>151</v>
      </c>
      <c r="D16" s="40" t="s">
        <v>152</v>
      </c>
      <c r="E16" s="40" t="s">
        <v>141</v>
      </c>
      <c r="F16" s="40"/>
      <c r="G16" s="40">
        <v>160</v>
      </c>
    </row>
    <row r="17" spans="1:7" ht="15.5" x14ac:dyDescent="0.35">
      <c r="C17" s="40" t="s">
        <v>153</v>
      </c>
      <c r="D17" s="40" t="s">
        <v>154</v>
      </c>
      <c r="E17" s="40" t="s">
        <v>141</v>
      </c>
      <c r="F17" s="40"/>
      <c r="G17" s="40">
        <v>348</v>
      </c>
    </row>
    <row r="18" spans="1:7" ht="15.5" x14ac:dyDescent="0.35">
      <c r="C18" s="40" t="s">
        <v>155</v>
      </c>
      <c r="D18" s="40" t="s">
        <v>154</v>
      </c>
      <c r="E18" s="40" t="s">
        <v>141</v>
      </c>
      <c r="F18" s="40"/>
      <c r="G18" s="40">
        <v>152</v>
      </c>
    </row>
    <row r="19" spans="1:7" ht="15.5" x14ac:dyDescent="0.35">
      <c r="C19" s="40" t="s">
        <v>156</v>
      </c>
      <c r="D19" s="40" t="s">
        <v>157</v>
      </c>
      <c r="E19" s="40" t="s">
        <v>150</v>
      </c>
      <c r="F19" s="40"/>
      <c r="G19" s="40">
        <v>369</v>
      </c>
    </row>
    <row r="22" spans="1:7" x14ac:dyDescent="0.35">
      <c r="A22" s="14" t="s">
        <v>62</v>
      </c>
    </row>
    <row r="25" spans="1:7" x14ac:dyDescent="0.35">
      <c r="C25" t="s">
        <v>158</v>
      </c>
      <c r="D25" t="s">
        <v>159</v>
      </c>
    </row>
    <row r="27" spans="1:7" x14ac:dyDescent="0.35">
      <c r="D27" t="s">
        <v>160</v>
      </c>
    </row>
    <row r="29" spans="1:7" x14ac:dyDescent="0.35">
      <c r="D29" t="s">
        <v>161</v>
      </c>
    </row>
    <row r="31" spans="1:7" x14ac:dyDescent="0.35">
      <c r="D31" t="s">
        <v>162</v>
      </c>
    </row>
    <row r="32" spans="1:7" x14ac:dyDescent="0.35">
      <c r="E32" t="s">
        <v>163</v>
      </c>
    </row>
    <row r="33" spans="4:18" x14ac:dyDescent="0.35">
      <c r="E33" t="s">
        <v>164</v>
      </c>
    </row>
    <row r="34" spans="4:18" x14ac:dyDescent="0.35">
      <c r="E34" t="s">
        <v>165</v>
      </c>
    </row>
    <row r="36" spans="4:18" ht="18.5" x14ac:dyDescent="0.45">
      <c r="D36" t="s">
        <v>166</v>
      </c>
      <c r="M36" s="41"/>
      <c r="N36" s="41"/>
      <c r="O36" s="41"/>
      <c r="P36" s="41"/>
      <c r="Q36" s="41"/>
      <c r="R36" s="41"/>
    </row>
    <row r="37" spans="4:18" x14ac:dyDescent="0.35">
      <c r="E37" t="s">
        <v>167</v>
      </c>
    </row>
    <row r="38" spans="4:18" x14ac:dyDescent="0.35">
      <c r="E38" t="s">
        <v>170</v>
      </c>
    </row>
    <row r="42" spans="4:18" x14ac:dyDescent="0.35">
      <c r="D42" t="s">
        <v>171</v>
      </c>
    </row>
    <row r="43" spans="4:18" x14ac:dyDescent="0.35">
      <c r="E43" t="s">
        <v>172</v>
      </c>
    </row>
    <row r="44" spans="4:18" x14ac:dyDescent="0.35">
      <c r="E44" t="s">
        <v>168</v>
      </c>
    </row>
    <row r="45" spans="4:18" x14ac:dyDescent="0.35">
      <c r="E45" t="s">
        <v>169</v>
      </c>
    </row>
    <row r="47" spans="4:18" x14ac:dyDescent="0.35">
      <c r="D47" t="s">
        <v>173</v>
      </c>
    </row>
    <row r="49" spans="4:4" x14ac:dyDescent="0.35">
      <c r="D49" t="s">
        <v>174</v>
      </c>
    </row>
  </sheetData>
  <dataValidations count="1">
    <dataValidation type="whole" allowBlank="1" showInputMessage="1" showErrorMessage="1" errorTitle="error" error="&quot;invalid input! The Quantitty Must be a Whole number between 1 and 10&quot;" promptTitle="input alert" prompt="Please enter a whole number between 1 and 10" sqref="F11:F19" xr:uid="{8210D6C6-38B1-4287-BF5C-C92496B17483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EA3C-2606-42AB-B541-2E00251FC470}">
  <dimension ref="A2:L40"/>
  <sheetViews>
    <sheetView topLeftCell="A30" workbookViewId="0">
      <selection activeCell="I43" sqref="I43"/>
    </sheetView>
  </sheetViews>
  <sheetFormatPr defaultRowHeight="14.5" x14ac:dyDescent="0.35"/>
  <cols>
    <col min="5" max="5" width="17.90625" bestFit="1" customWidth="1"/>
    <col min="6" max="6" width="15.36328125" bestFit="1" customWidth="1"/>
  </cols>
  <sheetData>
    <row r="2" spans="1:12" ht="15.5" x14ac:dyDescent="0.35">
      <c r="A2" s="14" t="s">
        <v>175</v>
      </c>
      <c r="C2" s="31" t="s">
        <v>176</v>
      </c>
    </row>
    <row r="3" spans="1:12" x14ac:dyDescent="0.35">
      <c r="C3" s="38"/>
    </row>
    <row r="4" spans="1:12" ht="15.5" x14ac:dyDescent="0.35">
      <c r="C4" s="5" t="s">
        <v>8</v>
      </c>
      <c r="D4" s="31" t="s">
        <v>177</v>
      </c>
    </row>
    <row r="5" spans="1:12" ht="15.5" x14ac:dyDescent="0.35">
      <c r="C5" s="5" t="s">
        <v>8</v>
      </c>
      <c r="D5" s="31" t="s">
        <v>178</v>
      </c>
    </row>
    <row r="6" spans="1:12" ht="15.5" x14ac:dyDescent="0.35">
      <c r="C6" s="5" t="s">
        <v>8</v>
      </c>
      <c r="D6" s="31" t="s">
        <v>179</v>
      </c>
    </row>
    <row r="7" spans="1:12" ht="15.5" x14ac:dyDescent="0.35">
      <c r="C7" s="5" t="s">
        <v>8</v>
      </c>
      <c r="D7" s="31" t="s">
        <v>180</v>
      </c>
    </row>
    <row r="8" spans="1:12" ht="15.5" x14ac:dyDescent="0.35">
      <c r="C8" s="5" t="s">
        <v>8</v>
      </c>
      <c r="D8" s="31" t="s">
        <v>181</v>
      </c>
    </row>
    <row r="12" spans="1:12" ht="15.5" x14ac:dyDescent="0.35">
      <c r="A12" s="14" t="s">
        <v>62</v>
      </c>
      <c r="C12">
        <v>1</v>
      </c>
      <c r="D12" s="36" t="s">
        <v>177</v>
      </c>
      <c r="E12" s="4"/>
      <c r="F12" s="4"/>
      <c r="G12" s="4"/>
      <c r="H12" s="4"/>
      <c r="I12" s="4"/>
      <c r="J12" s="4"/>
      <c r="K12" s="4"/>
      <c r="L12" s="4"/>
    </row>
    <row r="15" spans="1:12" ht="16" thickBot="1" x14ac:dyDescent="0.4">
      <c r="E15" s="44" t="s">
        <v>183</v>
      </c>
      <c r="F15" s="39" t="s">
        <v>184</v>
      </c>
    </row>
    <row r="16" spans="1:12" ht="16" thickBot="1" x14ac:dyDescent="0.4">
      <c r="E16" s="45" t="s">
        <v>182</v>
      </c>
      <c r="F16" s="43" t="str">
        <f>LEFT(E16,5)</f>
        <v>Excel</v>
      </c>
    </row>
    <row r="18" spans="3:10" ht="15.5" x14ac:dyDescent="0.35">
      <c r="C18" s="42">
        <v>2</v>
      </c>
      <c r="D18" s="36" t="s">
        <v>178</v>
      </c>
      <c r="E18" s="4"/>
      <c r="F18" s="4"/>
      <c r="G18" s="4"/>
      <c r="H18" s="4"/>
      <c r="I18" s="4"/>
      <c r="J18" s="4"/>
    </row>
    <row r="20" spans="3:10" ht="16" thickBot="1" x14ac:dyDescent="0.4">
      <c r="E20" s="44" t="s">
        <v>183</v>
      </c>
      <c r="F20" s="39" t="s">
        <v>184</v>
      </c>
    </row>
    <row r="21" spans="3:10" ht="16" thickBot="1" x14ac:dyDescent="0.4">
      <c r="E21" s="45" t="s">
        <v>185</v>
      </c>
      <c r="F21" s="43" t="str">
        <f>RIGHT(E21,4)</f>
        <v>xlsx</v>
      </c>
    </row>
    <row r="24" spans="3:10" ht="15.5" x14ac:dyDescent="0.35">
      <c r="C24">
        <v>3</v>
      </c>
      <c r="D24" s="36" t="s">
        <v>179</v>
      </c>
      <c r="E24" s="4"/>
      <c r="F24" s="4"/>
      <c r="G24" s="4"/>
      <c r="H24" s="4"/>
      <c r="I24" s="4"/>
      <c r="J24" s="4"/>
    </row>
    <row r="26" spans="3:10" ht="16" thickBot="1" x14ac:dyDescent="0.4">
      <c r="E26" s="44" t="s">
        <v>183</v>
      </c>
      <c r="F26" s="39" t="s">
        <v>184</v>
      </c>
    </row>
    <row r="27" spans="3:10" ht="16" thickBot="1" x14ac:dyDescent="0.4">
      <c r="E27" s="45" t="s">
        <v>186</v>
      </c>
      <c r="F27" s="43" t="str">
        <f>MID(E27,6,4)</f>
        <v>Tips</v>
      </c>
    </row>
    <row r="30" spans="3:10" ht="15.5" x14ac:dyDescent="0.35">
      <c r="C30">
        <v>4</v>
      </c>
      <c r="D30" s="36" t="s">
        <v>180</v>
      </c>
    </row>
    <row r="33" spans="3:6" ht="16" thickBot="1" x14ac:dyDescent="0.4">
      <c r="E33" s="44" t="s">
        <v>183</v>
      </c>
      <c r="F33" s="39" t="s">
        <v>184</v>
      </c>
    </row>
    <row r="34" spans="3:6" ht="16" thickBot="1" x14ac:dyDescent="0.4">
      <c r="E34" s="46" t="s">
        <v>187</v>
      </c>
      <c r="F34" s="43">
        <f>LEN(E34)</f>
        <v>12</v>
      </c>
    </row>
    <row r="37" spans="3:6" ht="15.5" x14ac:dyDescent="0.35">
      <c r="C37">
        <v>5</v>
      </c>
      <c r="D37" s="36" t="s">
        <v>181</v>
      </c>
    </row>
    <row r="39" spans="3:6" ht="16" thickBot="1" x14ac:dyDescent="0.4">
      <c r="E39" s="44" t="s">
        <v>183</v>
      </c>
      <c r="F39" s="39" t="s">
        <v>184</v>
      </c>
    </row>
    <row r="40" spans="3:6" ht="16" thickBot="1" x14ac:dyDescent="0.4">
      <c r="E40" s="46" t="s">
        <v>188</v>
      </c>
      <c r="F40" s="43" t="str">
        <f>MID(E40,7,5)</f>
        <v>67890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4828-5391-4B85-A6CC-8BDD99829976}">
  <dimension ref="A2:M46"/>
  <sheetViews>
    <sheetView topLeftCell="A30" workbookViewId="0">
      <selection activeCell="L46" sqref="L46"/>
    </sheetView>
  </sheetViews>
  <sheetFormatPr defaultRowHeight="14.5" x14ac:dyDescent="0.35"/>
  <cols>
    <col min="1" max="1" width="14" customWidth="1"/>
    <col min="5" max="5" width="10" customWidth="1"/>
    <col min="6" max="6" width="14.6328125" bestFit="1" customWidth="1"/>
    <col min="7" max="7" width="30.7265625" bestFit="1" customWidth="1"/>
    <col min="8" max="8" width="21.54296875" bestFit="1" customWidth="1"/>
  </cols>
  <sheetData>
    <row r="2" spans="1:9" x14ac:dyDescent="0.35">
      <c r="A2" s="14" t="s">
        <v>189</v>
      </c>
      <c r="B2" t="s">
        <v>190</v>
      </c>
    </row>
    <row r="4" spans="1:9" x14ac:dyDescent="0.35">
      <c r="C4" t="s">
        <v>191</v>
      </c>
    </row>
    <row r="5" spans="1:9" x14ac:dyDescent="0.35">
      <c r="C5" t="s">
        <v>192</v>
      </c>
    </row>
    <row r="6" spans="1:9" ht="12.5" customHeight="1" x14ac:dyDescent="0.35">
      <c r="C6" s="31" t="s">
        <v>193</v>
      </c>
    </row>
    <row r="7" spans="1:9" x14ac:dyDescent="0.35">
      <c r="C7" t="s">
        <v>194</v>
      </c>
    </row>
    <row r="8" spans="1:9" x14ac:dyDescent="0.35">
      <c r="C8" t="s">
        <v>195</v>
      </c>
    </row>
    <row r="12" spans="1:9" ht="21" x14ac:dyDescent="0.5">
      <c r="A12" s="47" t="s">
        <v>62</v>
      </c>
      <c r="C12" s="4" t="s">
        <v>191</v>
      </c>
      <c r="D12" s="4"/>
      <c r="E12" s="4"/>
      <c r="F12" s="4"/>
      <c r="G12" s="4"/>
      <c r="H12" s="4"/>
      <c r="I12" s="4"/>
    </row>
    <row r="14" spans="1:9" ht="15.5" x14ac:dyDescent="0.35">
      <c r="E14" s="48" t="s">
        <v>196</v>
      </c>
      <c r="F14" s="48" t="s">
        <v>197</v>
      </c>
      <c r="H14" s="50" t="str">
        <f>_xlfn.CONCAT(E14, " ", F14)</f>
        <v>Hello World</v>
      </c>
    </row>
    <row r="17" spans="3:13" x14ac:dyDescent="0.35">
      <c r="C17" s="4" t="s">
        <v>192</v>
      </c>
    </row>
    <row r="19" spans="3:13" ht="15.5" x14ac:dyDescent="0.35">
      <c r="E19" s="48" t="s">
        <v>198</v>
      </c>
      <c r="F19" s="48" t="s">
        <v>199</v>
      </c>
      <c r="G19" s="48" t="s">
        <v>200</v>
      </c>
      <c r="H19" s="49" t="str">
        <f>_xlfn.TEXTJOIN(",",TRUE,E19,F19,G19)</f>
        <v>Apple,Banana ,Cherry</v>
      </c>
    </row>
    <row r="23" spans="3:13" ht="15.5" x14ac:dyDescent="0.35">
      <c r="C23" s="36" t="s">
        <v>193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6" spans="3:13" ht="15.5" x14ac:dyDescent="0.35">
      <c r="E26" s="51">
        <v>2025</v>
      </c>
      <c r="F26" s="48" t="s">
        <v>201</v>
      </c>
      <c r="G26" s="49" t="str">
        <f>E26&amp;":"&amp;F26</f>
        <v>2025:Excel Functions</v>
      </c>
    </row>
    <row r="29" spans="3:13" x14ac:dyDescent="0.35">
      <c r="C29" s="4" t="s">
        <v>194</v>
      </c>
    </row>
    <row r="31" spans="3:13" ht="15" thickBot="1" x14ac:dyDescent="0.4"/>
    <row r="32" spans="3:13" ht="15.5" x14ac:dyDescent="0.35">
      <c r="E32" s="52" t="s">
        <v>202</v>
      </c>
      <c r="G32" s="50" t="str">
        <f>_xlfn.TEXTJOIN(",",TRUE,E32,E33,E34,E35,E36)</f>
        <v>Mango,Apple ,Banana,Jackfruit,Kiwi</v>
      </c>
    </row>
    <row r="33" spans="3:7" ht="15.5" x14ac:dyDescent="0.35">
      <c r="E33" s="53" t="s">
        <v>203</v>
      </c>
    </row>
    <row r="34" spans="3:7" ht="15.5" x14ac:dyDescent="0.35">
      <c r="E34" s="53" t="s">
        <v>204</v>
      </c>
    </row>
    <row r="35" spans="3:7" ht="15.5" x14ac:dyDescent="0.35">
      <c r="E35" s="53" t="s">
        <v>205</v>
      </c>
    </row>
    <row r="36" spans="3:7" ht="16" thickBot="1" x14ac:dyDescent="0.4">
      <c r="E36" s="54" t="s">
        <v>206</v>
      </c>
    </row>
    <row r="39" spans="3:7" x14ac:dyDescent="0.35">
      <c r="C39" t="s">
        <v>195</v>
      </c>
    </row>
    <row r="41" spans="3:7" ht="15" thickBot="1" x14ac:dyDescent="0.4"/>
    <row r="42" spans="3:7" ht="15.5" x14ac:dyDescent="0.35">
      <c r="E42" s="52" t="s">
        <v>207</v>
      </c>
      <c r="F42" s="52" t="s">
        <v>208</v>
      </c>
      <c r="G42" s="55" t="s">
        <v>209</v>
      </c>
    </row>
    <row r="43" spans="3:7" ht="15.5" x14ac:dyDescent="0.35">
      <c r="E43" s="53" t="s">
        <v>210</v>
      </c>
      <c r="F43" s="53" t="s">
        <v>99</v>
      </c>
      <c r="G43" s="56" t="str">
        <f>_xlfn.CONCAT(E43, " ", F43)</f>
        <v>Ritik Chaudhary</v>
      </c>
    </row>
    <row r="44" spans="3:7" ht="15.5" x14ac:dyDescent="0.35">
      <c r="E44" s="53" t="s">
        <v>211</v>
      </c>
      <c r="F44" s="53" t="s">
        <v>212</v>
      </c>
      <c r="G44" s="56" t="str">
        <f t="shared" ref="G44:G46" si="0">_xlfn.CONCAT(E44, " ", F44)</f>
        <v>Rishabh Sharma</v>
      </c>
    </row>
    <row r="45" spans="3:7" ht="15.5" x14ac:dyDescent="0.35">
      <c r="E45" s="53" t="s">
        <v>213</v>
      </c>
      <c r="F45" s="53" t="s">
        <v>214</v>
      </c>
      <c r="G45" s="56" t="str">
        <f t="shared" si="0"/>
        <v>Harnoor Gandhi</v>
      </c>
    </row>
    <row r="46" spans="3:7" ht="16" thickBot="1" x14ac:dyDescent="0.4">
      <c r="E46" s="54" t="s">
        <v>215</v>
      </c>
      <c r="F46" s="54" t="s">
        <v>216</v>
      </c>
      <c r="G46" s="56" t="str">
        <f t="shared" si="0"/>
        <v>Skandh Jain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888F-7D26-487E-B2D2-514440C3AAE8}">
  <dimension ref="A2:T65"/>
  <sheetViews>
    <sheetView workbookViewId="0">
      <selection activeCell="C66" sqref="C66"/>
    </sheetView>
  </sheetViews>
  <sheetFormatPr defaultRowHeight="14.5" x14ac:dyDescent="0.35"/>
  <cols>
    <col min="4" max="4" width="13.453125" customWidth="1"/>
    <col min="5" max="5" width="21.1796875" customWidth="1"/>
  </cols>
  <sheetData>
    <row r="2" spans="1:14" x14ac:dyDescent="0.35">
      <c r="A2" s="57" t="s">
        <v>217</v>
      </c>
      <c r="C2" t="s">
        <v>218</v>
      </c>
    </row>
    <row r="4" spans="1:14" x14ac:dyDescent="0.35">
      <c r="C4" t="s">
        <v>223</v>
      </c>
    </row>
    <row r="6" spans="1:14" x14ac:dyDescent="0.35">
      <c r="C6" t="s">
        <v>219</v>
      </c>
    </row>
    <row r="8" spans="1:14" x14ac:dyDescent="0.35">
      <c r="C8" t="s">
        <v>220</v>
      </c>
    </row>
    <row r="10" spans="1:14" x14ac:dyDescent="0.35">
      <c r="C10" t="s">
        <v>221</v>
      </c>
    </row>
    <row r="12" spans="1:14" x14ac:dyDescent="0.35">
      <c r="C12" t="s">
        <v>222</v>
      </c>
    </row>
    <row r="16" spans="1:14" ht="21" x14ac:dyDescent="0.5">
      <c r="A16" s="58" t="s">
        <v>224</v>
      </c>
      <c r="C16" s="29" t="s">
        <v>223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8" spans="3:5" x14ac:dyDescent="0.35">
      <c r="D18" t="s">
        <v>225</v>
      </c>
    </row>
    <row r="20" spans="3:5" x14ac:dyDescent="0.35">
      <c r="D20" s="4" t="s">
        <v>226</v>
      </c>
    </row>
    <row r="22" spans="3:5" x14ac:dyDescent="0.35">
      <c r="D22" s="4" t="s">
        <v>227</v>
      </c>
    </row>
    <row r="26" spans="3:5" ht="18.5" x14ac:dyDescent="0.45">
      <c r="C26" s="27" t="s">
        <v>228</v>
      </c>
    </row>
    <row r="28" spans="3:5" x14ac:dyDescent="0.35">
      <c r="D28" t="s">
        <v>229</v>
      </c>
    </row>
    <row r="30" spans="3:5" ht="18.5" x14ac:dyDescent="0.45">
      <c r="D30" s="60" t="s">
        <v>230</v>
      </c>
      <c r="E30" s="61">
        <f ca="1">TODAY()</f>
        <v>46030</v>
      </c>
    </row>
    <row r="32" spans="3:5" x14ac:dyDescent="0.35">
      <c r="D32" t="s">
        <v>231</v>
      </c>
    </row>
    <row r="33" spans="3:11" x14ac:dyDescent="0.35">
      <c r="D33" t="s">
        <v>238</v>
      </c>
    </row>
    <row r="35" spans="3:11" ht="23.5" x14ac:dyDescent="0.35">
      <c r="C35" s="62" t="s">
        <v>232</v>
      </c>
    </row>
    <row r="37" spans="3:11" x14ac:dyDescent="0.35">
      <c r="D37" t="s">
        <v>233</v>
      </c>
    </row>
    <row r="39" spans="3:11" ht="18.5" x14ac:dyDescent="0.45">
      <c r="D39" s="60" t="s">
        <v>230</v>
      </c>
      <c r="E39" s="63">
        <f ca="1">NOW()</f>
        <v>46030.041423379633</v>
      </c>
    </row>
    <row r="41" spans="3:11" x14ac:dyDescent="0.35">
      <c r="D41" t="s">
        <v>234</v>
      </c>
      <c r="E41" t="s">
        <v>235</v>
      </c>
    </row>
    <row r="42" spans="3:11" x14ac:dyDescent="0.35">
      <c r="E42" t="s">
        <v>236</v>
      </c>
    </row>
    <row r="43" spans="3:11" x14ac:dyDescent="0.35">
      <c r="E43" t="s">
        <v>237</v>
      </c>
    </row>
    <row r="46" spans="3:11" x14ac:dyDescent="0.35">
      <c r="C46" s="4" t="s">
        <v>239</v>
      </c>
      <c r="D46" s="4"/>
      <c r="E46" s="4"/>
      <c r="F46" s="4"/>
      <c r="G46" s="4"/>
      <c r="H46" s="4"/>
      <c r="I46" s="4"/>
      <c r="J46" s="4"/>
      <c r="K46" s="4"/>
    </row>
    <row r="48" spans="3:11" x14ac:dyDescent="0.35">
      <c r="E48" s="64">
        <v>45818</v>
      </c>
      <c r="G48" s="59">
        <f ca="1">E48-TODAY()</f>
        <v>-212</v>
      </c>
    </row>
    <row r="51" spans="3:20" x14ac:dyDescent="0.35">
      <c r="C51" s="4" t="s">
        <v>220</v>
      </c>
      <c r="D51" s="4"/>
      <c r="E51" s="4"/>
      <c r="F51" s="4"/>
      <c r="G51" s="4"/>
      <c r="H51" s="4"/>
      <c r="I51" s="4"/>
      <c r="J51" s="4"/>
      <c r="K51" s="4"/>
      <c r="L51" s="4"/>
    </row>
    <row r="54" spans="3:20" x14ac:dyDescent="0.35">
      <c r="E54" s="65">
        <f ca="1">NOW()</f>
        <v>46030.041423379633</v>
      </c>
    </row>
    <row r="57" spans="3:20" x14ac:dyDescent="0.35">
      <c r="C57" s="4" t="s">
        <v>221</v>
      </c>
    </row>
    <row r="59" spans="3:20" ht="15.5" x14ac:dyDescent="0.35">
      <c r="C59" s="66" t="s">
        <v>240</v>
      </c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7"/>
      <c r="R59" s="67"/>
      <c r="S59" s="67"/>
      <c r="T59" s="67"/>
    </row>
    <row r="63" spans="3:20" x14ac:dyDescent="0.35">
      <c r="C63" s="4" t="s">
        <v>241</v>
      </c>
    </row>
    <row r="65" spans="4:12" ht="15.5" x14ac:dyDescent="0.35">
      <c r="D65" s="66" t="s">
        <v>242</v>
      </c>
      <c r="E65" s="66"/>
      <c r="F65" s="66"/>
      <c r="G65" s="66"/>
      <c r="H65" s="66"/>
      <c r="I65" s="67"/>
      <c r="J65" s="67"/>
      <c r="K65" s="67"/>
      <c r="L65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</dc:creator>
  <cp:lastModifiedBy>Ritik</cp:lastModifiedBy>
  <dcterms:created xsi:type="dcterms:W3CDTF">2026-01-07T16:12:49Z</dcterms:created>
  <dcterms:modified xsi:type="dcterms:W3CDTF">2026-01-07T19:30:23Z</dcterms:modified>
</cp:coreProperties>
</file>